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d.docs.live.net/4537e0bdef8c4a1e/Documents/GitHub/Misc-Python-Stuff/Pool Data Sheet Filler/"/>
    </mc:Choice>
  </mc:AlternateContent>
  <xr:revisionPtr revIDLastSave="297" documentId="13_ncr:1_{4922D1BC-07C8-4760-BE39-F55E3BEB786D}" xr6:coauthVersionLast="47" xr6:coauthVersionMax="47" xr10:uidLastSave="{61074716-3C41-4B49-9834-B8F6AC5AC118}"/>
  <bookViews>
    <workbookView xWindow="-120" yWindow="-120" windowWidth="29040" windowHeight="15840" xr2:uid="{00000000-000D-0000-FFFF-FFFF00000000}"/>
  </bookViews>
  <sheets>
    <sheet name="Pool Data For Export" sheetId="1" r:id="rId1"/>
    <sheet name="Backend"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1" l="1"/>
  <c r="E65" i="1"/>
  <c r="E10" i="1"/>
  <c r="B65" i="1"/>
  <c r="B64" i="1"/>
  <c r="B63" i="1"/>
  <c r="B62" i="1"/>
  <c r="B61" i="1"/>
  <c r="B60" i="1"/>
  <c r="B59" i="1"/>
  <c r="B58" i="1"/>
  <c r="B57" i="1"/>
  <c r="B56" i="1"/>
  <c r="B55" i="1"/>
  <c r="B54" i="1"/>
  <c r="B53" i="1"/>
  <c r="B52" i="1"/>
  <c r="B51" i="1"/>
  <c r="B50" i="1"/>
  <c r="B49" i="1"/>
  <c r="B48" i="1"/>
  <c r="B46" i="1"/>
  <c r="B45" i="1"/>
  <c r="B44" i="1"/>
  <c r="B43" i="1"/>
  <c r="B42" i="1"/>
  <c r="B41" i="1"/>
  <c r="B39" i="1"/>
  <c r="B38" i="1"/>
  <c r="B37" i="1"/>
  <c r="B36" i="1"/>
  <c r="B33" i="1"/>
  <c r="B28" i="1"/>
  <c r="B27" i="1"/>
  <c r="B26" i="1"/>
  <c r="B24" i="1"/>
  <c r="B23" i="1"/>
  <c r="B22" i="1"/>
  <c r="B20" i="1"/>
  <c r="B19" i="1"/>
  <c r="B18" i="1"/>
  <c r="B17" i="1"/>
  <c r="B15" i="1"/>
  <c r="B14" i="1"/>
  <c r="B13" i="1"/>
  <c r="B12" i="1"/>
  <c r="B10" i="1"/>
  <c r="B9" i="1"/>
  <c r="B8" i="1"/>
  <c r="B3" i="1"/>
  <c r="I57" i="1"/>
  <c r="I46" i="1"/>
  <c r="I45" i="1"/>
  <c r="I44" i="1"/>
  <c r="I41" i="1"/>
  <c r="I23" i="1"/>
  <c r="I27" i="1"/>
  <c r="I26" i="1"/>
  <c r="I10" i="1"/>
  <c r="I24" i="1" s="1"/>
</calcChain>
</file>

<file path=xl/sharedStrings.xml><?xml version="1.0" encoding="utf-8"?>
<sst xmlns="http://schemas.openxmlformats.org/spreadsheetml/2006/main" count="183" uniqueCount="101">
  <si>
    <t>Fraser</t>
  </si>
  <si>
    <t>Interior</t>
  </si>
  <si>
    <t>Island</t>
  </si>
  <si>
    <t>Northern</t>
  </si>
  <si>
    <t>Coastal</t>
  </si>
  <si>
    <t>Name</t>
  </si>
  <si>
    <t>Application To:</t>
  </si>
  <si>
    <t>Name of Pool</t>
  </si>
  <si>
    <t>Date</t>
  </si>
  <si>
    <t>1175 Douglas St #912, Victoria, BC V8W 2E1</t>
  </si>
  <si>
    <t>Street Adress</t>
  </si>
  <si>
    <t>AME test pool</t>
  </si>
  <si>
    <t>Address</t>
  </si>
  <si>
    <t>Phone Number</t>
  </si>
  <si>
    <t>Email</t>
  </si>
  <si>
    <t>John Doe</t>
  </si>
  <si>
    <t>638 Smithe St Suite 200, Vancouver, BC V6B 1E3</t>
  </si>
  <si>
    <t>098-765-4321</t>
  </si>
  <si>
    <t>random@icould.com</t>
  </si>
  <si>
    <t>General Information</t>
  </si>
  <si>
    <t>Name of Pool:</t>
  </si>
  <si>
    <t>Civic Address:</t>
  </si>
  <si>
    <t>Pool Type:</t>
  </si>
  <si>
    <t>Indoor/Outdoor</t>
  </si>
  <si>
    <t>Public Pool</t>
  </si>
  <si>
    <t>Commercial Pool</t>
  </si>
  <si>
    <t>Hot Tub</t>
  </si>
  <si>
    <t>Spray Pool</t>
  </si>
  <si>
    <t>Wading Pool</t>
  </si>
  <si>
    <t>Indoor</t>
  </si>
  <si>
    <t>Outdoor</t>
  </si>
  <si>
    <t>Health Authority</t>
  </si>
  <si>
    <t>Owner's Confirmation of Commitment</t>
  </si>
  <si>
    <t>Owner Name</t>
  </si>
  <si>
    <t>Notes</t>
  </si>
  <si>
    <t>Contact Information: Owner or Agent</t>
  </si>
  <si>
    <t>Contact Information: Person Applying for Construction Permit</t>
  </si>
  <si>
    <t>Normally Filled out by owner, can be left blank</t>
  </si>
  <si>
    <t>Owner Information</t>
  </si>
  <si>
    <t>Designer Information (Append additional information for multiple designers)</t>
  </si>
  <si>
    <t>Company (Legal Corporate)</t>
  </si>
  <si>
    <t>The AME Consulting Group</t>
  </si>
  <si>
    <t>Professional Designation</t>
  </si>
  <si>
    <t>PEng</t>
  </si>
  <si>
    <t>General Pool Parameters</t>
  </si>
  <si>
    <t>Pool Volume: (m^3)</t>
  </si>
  <si>
    <t>Turnover: (hours)</t>
  </si>
  <si>
    <t>Design Re-circulation Flow Rate: (L/sec)</t>
  </si>
  <si>
    <t>Pool Area (m^2)</t>
  </si>
  <si>
    <t>Deck Area (m^2)</t>
  </si>
  <si>
    <t>Minimum Water Depth</t>
  </si>
  <si>
    <t>Maximum Water Depth</t>
  </si>
  <si>
    <t>Shallow Bathing Load</t>
  </si>
  <si>
    <t>Deep Bathing Load</t>
  </si>
  <si>
    <t>Total Bathing Load</t>
  </si>
  <si>
    <t>Pool Basin Color</t>
  </si>
  <si>
    <t>Complies with Pool Regulations</t>
  </si>
  <si>
    <t>Yes/No</t>
  </si>
  <si>
    <t>Yes</t>
  </si>
  <si>
    <t>No</t>
  </si>
  <si>
    <t>Filters</t>
  </si>
  <si>
    <t>Modify Cell to exclude ramps</t>
  </si>
  <si>
    <t>Sand</t>
  </si>
  <si>
    <t>Pressure</t>
  </si>
  <si>
    <t>Vacuum</t>
  </si>
  <si>
    <t>Gravity</t>
  </si>
  <si>
    <t>NSF Approved</t>
  </si>
  <si>
    <t>Pressure Gauge Quantity</t>
  </si>
  <si>
    <t>Vacuum Gauge Quantity</t>
  </si>
  <si>
    <t>Temperature Gauge Quantity</t>
  </si>
  <si>
    <t>Disinfection</t>
  </si>
  <si>
    <t>Hypochlorite</t>
  </si>
  <si>
    <t>Chlorine Gas</t>
  </si>
  <si>
    <t>Stabilized Chlorine</t>
  </si>
  <si>
    <t>Bromine</t>
  </si>
  <si>
    <t>Other</t>
  </si>
  <si>
    <t>Blue</t>
  </si>
  <si>
    <t>D.E.</t>
  </si>
  <si>
    <t>Default Settings</t>
  </si>
  <si>
    <t>font size</t>
  </si>
  <si>
    <t>PDF Path</t>
  </si>
  <si>
    <t>Filled PDF Path</t>
  </si>
  <si>
    <t>Prompt For Save Path</t>
  </si>
  <si>
    <t>Spreadsheet Path</t>
  </si>
  <si>
    <t>Spreadsheet Sheet Name</t>
  </si>
  <si>
    <t>text x offset</t>
  </si>
  <si>
    <t>text y offset</t>
  </si>
  <si>
    <t>checkbox size</t>
  </si>
  <si>
    <t>checkbox line width</t>
  </si>
  <si>
    <t>type</t>
  </si>
  <si>
    <t>string</t>
  </si>
  <si>
    <t>multiChoiceCheckbox</t>
  </si>
  <si>
    <t>multi choice options</t>
  </si>
  <si>
    <t>insertion coordinates</t>
  </si>
  <si>
    <t>41,158</t>
  </si>
  <si>
    <t>257,158</t>
  </si>
  <si>
    <t>162,158</t>
  </si>
  <si>
    <t>369,158</t>
  </si>
  <si>
    <t>482,158</t>
  </si>
  <si>
    <t>Sand,D.E.</t>
  </si>
  <si>
    <t>Hypochlorite,Chlorine Gas,Stabilized Chlorine,Bromine,Other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</si>
</sst>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scheme val="minor"/>
    </font>
    <font>
      <b/>
      <sz val="11"/>
      <color theme="0"/>
      <name val="Calibri"/>
      <family val="2"/>
      <scheme val="minor"/>
    </font>
    <font>
      <sz val="8"/>
      <name val="Calibri"/>
      <family val="2"/>
      <scheme val="minor"/>
    </font>
  </fonts>
  <fills count="11">
    <fill>
      <patternFill patternType="none"/>
    </fill>
    <fill>
      <patternFill patternType="gray125"/>
    </fill>
    <fill>
      <patternFill patternType="solid">
        <fgColor theme="9"/>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8" tint="0.59999389629810485"/>
        <bgColor indexed="65"/>
      </patternFill>
    </fill>
    <fill>
      <patternFill patternType="solid">
        <fgColor rgb="FFFFFFCC"/>
      </patternFill>
    </fill>
    <fill>
      <patternFill patternType="solid">
        <fgColor theme="9" tint="0.39997558519241921"/>
        <bgColor indexed="65"/>
      </patternFill>
    </fill>
    <fill>
      <patternFill patternType="solid">
        <fgColor theme="5" tint="0.79998168889431442"/>
        <bgColor indexed="65"/>
      </patternFill>
    </fill>
    <fill>
      <patternFill patternType="solid">
        <fgColor theme="5" tint="0.59999389629810485"/>
        <bgColor indexed="65"/>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2" applyNumberFormat="0" applyFont="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cellStyleXfs>
  <cellXfs count="23">
    <xf numFmtId="0" fontId="0" fillId="0" borderId="0" xfId="0"/>
    <xf numFmtId="0" fontId="1" fillId="0" borderId="0" xfId="0" applyFont="1"/>
    <xf numFmtId="0" fontId="3" fillId="4" borderId="0" xfId="3"/>
    <xf numFmtId="0" fontId="3" fillId="3" borderId="0" xfId="2"/>
    <xf numFmtId="0" fontId="3" fillId="5" borderId="0" xfId="4"/>
    <xf numFmtId="0" fontId="1" fillId="4" borderId="0" xfId="3" applyFont="1"/>
    <xf numFmtId="0" fontId="1" fillId="5" borderId="0" xfId="4" applyFont="1"/>
    <xf numFmtId="0" fontId="3" fillId="6" borderId="0" xfId="5"/>
    <xf numFmtId="14" fontId="3" fillId="6" borderId="0" xfId="5" applyNumberFormat="1" applyAlignment="1">
      <alignment horizontal="left"/>
    </xf>
    <xf numFmtId="0" fontId="3" fillId="8" borderId="0" xfId="7"/>
    <xf numFmtId="0" fontId="0" fillId="7" borderId="2" xfId="6" applyFont="1"/>
    <xf numFmtId="0" fontId="3" fillId="4" borderId="1" xfId="3" applyBorder="1"/>
    <xf numFmtId="14" fontId="3" fillId="5" borderId="1" xfId="4" applyNumberFormat="1" applyBorder="1" applyAlignment="1">
      <alignment horizontal="left"/>
    </xf>
    <xf numFmtId="0" fontId="3" fillId="3" borderId="0" xfId="2" applyAlignment="1">
      <alignment horizontal="left"/>
    </xf>
    <xf numFmtId="0" fontId="3" fillId="6" borderId="0" xfId="5" applyAlignment="1">
      <alignment horizontal="left"/>
    </xf>
    <xf numFmtId="0" fontId="3" fillId="5" borderId="0" xfId="4" applyAlignment="1">
      <alignment horizontal="left"/>
    </xf>
    <xf numFmtId="0" fontId="1" fillId="0" borderId="0" xfId="0" applyFont="1" applyAlignment="1">
      <alignment horizontal="center"/>
    </xf>
    <xf numFmtId="0" fontId="3" fillId="9" borderId="0" xfId="8"/>
    <xf numFmtId="0" fontId="3" fillId="10" borderId="0" xfId="9"/>
    <xf numFmtId="0" fontId="4" fillId="2" borderId="0" xfId="1" applyFont="1" applyAlignment="1">
      <alignment horizontal="center"/>
    </xf>
    <xf numFmtId="0" fontId="4" fillId="2" borderId="0" xfId="1" applyFont="1" applyAlignment="1">
      <alignment horizontal="center" vertical="center"/>
    </xf>
    <xf numFmtId="0" fontId="0" fillId="0" borderId="0" xfId="0" applyNumberFormat="1"/>
    <xf numFmtId="0" fontId="0" fillId="0" borderId="0" xfId="0" applyNumberFormat="1" applyAlignment="1">
      <alignment horizontal="left"/>
    </xf>
  </cellXfs>
  <cellStyles count="10">
    <cellStyle name="20% - Accent2" xfId="8" builtinId="34"/>
    <cellStyle name="20% - Accent5" xfId="2" builtinId="46"/>
    <cellStyle name="20% - Accent6" xfId="3" builtinId="50"/>
    <cellStyle name="40% - Accent2" xfId="9" builtinId="35"/>
    <cellStyle name="40% - Accent5" xfId="5" builtinId="47"/>
    <cellStyle name="40% - Accent6" xfId="4" builtinId="51"/>
    <cellStyle name="60% - Accent6" xfId="7" builtinId="52"/>
    <cellStyle name="Accent6" xfId="1" builtinId="49"/>
    <cellStyle name="Normal" xfId="0" builtinId="0"/>
    <cellStyle name="Note" xfId="6" builtinId="10"/>
  </cellStyles>
  <dxfs count="14">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andom@icould.com" TargetMode="External"/><Relationship Id="rId2" Type="http://schemas.openxmlformats.org/officeDocument/2006/relationships/hyperlink" Target="mailto:random@icould.com" TargetMode="External"/><Relationship Id="rId1" Type="http://schemas.openxmlformats.org/officeDocument/2006/relationships/hyperlink" Target="mailto:random@icould.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5"/>
  <sheetViews>
    <sheetView tabSelected="1" topLeftCell="B34" zoomScale="85" zoomScaleNormal="85" workbookViewId="0">
      <selection activeCell="D65" sqref="D65"/>
    </sheetView>
  </sheetViews>
  <sheetFormatPr defaultRowHeight="15" x14ac:dyDescent="0.25"/>
  <cols>
    <col min="1" max="1" width="23.85546875" bestFit="1" customWidth="1"/>
    <col min="2" max="2" width="150.28515625" bestFit="1" customWidth="1"/>
    <col min="3" max="3" width="22.42578125" bestFit="1" customWidth="1"/>
    <col min="4" max="4" width="58.5703125" bestFit="1" customWidth="1"/>
    <col min="5" max="5" width="21.28515625" style="21" bestFit="1" customWidth="1"/>
    <col min="6" max="7" width="21.28515625" style="21" customWidth="1"/>
    <col min="8" max="8" width="36.7109375" bestFit="1" customWidth="1"/>
    <col min="9" max="9" width="63.5703125" customWidth="1"/>
    <col min="10" max="10" width="63.42578125" bestFit="1" customWidth="1"/>
    <col min="11" max="11" width="5.28515625" bestFit="1" customWidth="1"/>
    <col min="12" max="14" width="9.7109375" bestFit="1" customWidth="1"/>
  </cols>
  <sheetData>
    <row r="1" spans="1:10" x14ac:dyDescent="0.25">
      <c r="A1" s="16" t="s">
        <v>78</v>
      </c>
      <c r="B1" t="s">
        <v>5</v>
      </c>
      <c r="C1" t="s">
        <v>89</v>
      </c>
      <c r="D1" t="s">
        <v>92</v>
      </c>
      <c r="E1" s="21" t="s">
        <v>93</v>
      </c>
    </row>
    <row r="2" spans="1:10" x14ac:dyDescent="0.25">
      <c r="A2" s="17" t="s">
        <v>80</v>
      </c>
      <c r="H2" s="19" t="s">
        <v>6</v>
      </c>
      <c r="I2" s="19"/>
      <c r="J2" s="9" t="s">
        <v>34</v>
      </c>
    </row>
    <row r="3" spans="1:10" x14ac:dyDescent="0.25">
      <c r="A3" s="18" t="s">
        <v>81</v>
      </c>
      <c r="B3" t="str">
        <f>_xlfn.CONCAT($H$2," ",H2)</f>
        <v>Application To: Application To:</v>
      </c>
      <c r="C3" t="s">
        <v>91</v>
      </c>
      <c r="E3" s="21" t="s">
        <v>95</v>
      </c>
      <c r="G3" t="s">
        <v>4</v>
      </c>
      <c r="H3" s="5" t="s">
        <v>31</v>
      </c>
      <c r="I3" s="3" t="s">
        <v>0</v>
      </c>
    </row>
    <row r="4" spans="1:10" x14ac:dyDescent="0.25">
      <c r="A4" s="17" t="s">
        <v>82</v>
      </c>
      <c r="E4" s="21" t="s">
        <v>94</v>
      </c>
      <c r="G4" t="s">
        <v>0</v>
      </c>
      <c r="H4" s="5"/>
      <c r="I4" s="3"/>
    </row>
    <row r="5" spans="1:10" x14ac:dyDescent="0.25">
      <c r="A5" s="18" t="s">
        <v>83</v>
      </c>
      <c r="E5" s="21" t="s">
        <v>96</v>
      </c>
      <c r="G5" t="s">
        <v>1</v>
      </c>
      <c r="H5" s="5"/>
      <c r="I5" s="3"/>
    </row>
    <row r="6" spans="1:10" x14ac:dyDescent="0.25">
      <c r="A6" s="17" t="s">
        <v>84</v>
      </c>
      <c r="E6" s="21" t="s">
        <v>97</v>
      </c>
      <c r="G6" t="s">
        <v>2</v>
      </c>
      <c r="H6" s="5"/>
      <c r="I6" s="3"/>
    </row>
    <row r="7" spans="1:10" x14ac:dyDescent="0.25">
      <c r="A7" s="18" t="s">
        <v>79</v>
      </c>
      <c r="E7" s="21" t="s">
        <v>98</v>
      </c>
      <c r="G7" t="s">
        <v>3</v>
      </c>
      <c r="H7" s="5"/>
      <c r="I7" s="3"/>
    </row>
    <row r="8" spans="1:10" x14ac:dyDescent="0.25">
      <c r="A8" s="17" t="s">
        <v>85</v>
      </c>
      <c r="B8" t="str">
        <f>_xlfn.CONCAT($H$2," ",H3)</f>
        <v>Application To: Health Authority</v>
      </c>
      <c r="C8" t="s">
        <v>90</v>
      </c>
      <c r="E8" s="22"/>
      <c r="F8" s="22"/>
      <c r="G8" s="22"/>
      <c r="H8" s="6" t="s">
        <v>7</v>
      </c>
      <c r="I8" s="7" t="s">
        <v>11</v>
      </c>
    </row>
    <row r="9" spans="1:10" x14ac:dyDescent="0.25">
      <c r="A9" s="18" t="s">
        <v>86</v>
      </c>
      <c r="B9" t="str">
        <f>_xlfn.CONCAT($H$2," ",H8)</f>
        <v>Application To: Name of Pool</v>
      </c>
      <c r="C9" t="s">
        <v>90</v>
      </c>
      <c r="H9" s="5" t="s">
        <v>10</v>
      </c>
      <c r="I9" s="3" t="s">
        <v>9</v>
      </c>
    </row>
    <row r="10" spans="1:10" x14ac:dyDescent="0.25">
      <c r="A10" s="17" t="s">
        <v>87</v>
      </c>
      <c r="B10" t="str">
        <f>_xlfn.CONCAT($H$2," ",H9)</f>
        <v>Application To: Street Adress</v>
      </c>
      <c r="C10" t="s">
        <v>90</v>
      </c>
      <c r="E10" s="21">
        <f>SUM(1,2)</f>
        <v>3</v>
      </c>
      <c r="H10" s="6" t="s">
        <v>8</v>
      </c>
      <c r="I10" s="8">
        <f ca="1">TODAY()</f>
        <v>45947</v>
      </c>
    </row>
    <row r="11" spans="1:10" x14ac:dyDescent="0.25">
      <c r="A11" s="18" t="s">
        <v>88</v>
      </c>
      <c r="H11" s="20" t="s">
        <v>35</v>
      </c>
      <c r="I11" s="20"/>
    </row>
    <row r="12" spans="1:10" x14ac:dyDescent="0.25">
      <c r="B12" t="str">
        <f>_xlfn.CONCAT($H$11," ",H11)</f>
        <v>Contact Information: Owner or Agent Contact Information: Owner or Agent</v>
      </c>
      <c r="C12" t="s">
        <v>90</v>
      </c>
      <c r="H12" s="5" t="s">
        <v>5</v>
      </c>
      <c r="I12" s="3"/>
      <c r="J12" s="10" t="s">
        <v>37</v>
      </c>
    </row>
    <row r="13" spans="1:10" x14ac:dyDescent="0.25">
      <c r="B13" t="str">
        <f>_xlfn.CONCAT($H$11," ",H12)</f>
        <v>Contact Information: Owner or Agent Name</v>
      </c>
      <c r="C13" t="s">
        <v>90</v>
      </c>
      <c r="H13" s="6" t="s">
        <v>12</v>
      </c>
      <c r="I13" s="7"/>
      <c r="J13" s="10" t="s">
        <v>37</v>
      </c>
    </row>
    <row r="14" spans="1:10" x14ac:dyDescent="0.25">
      <c r="B14" t="str">
        <f>_xlfn.CONCAT($H$11," ",H13)</f>
        <v>Contact Information: Owner or Agent Address</v>
      </c>
      <c r="C14" t="s">
        <v>90</v>
      </c>
      <c r="H14" s="5" t="s">
        <v>13</v>
      </c>
      <c r="I14" s="3"/>
      <c r="J14" s="10" t="s">
        <v>37</v>
      </c>
    </row>
    <row r="15" spans="1:10" x14ac:dyDescent="0.25">
      <c r="B15" t="str">
        <f>_xlfn.CONCAT($H$11," ",H14)</f>
        <v>Contact Information: Owner or Agent Phone Number</v>
      </c>
      <c r="C15" t="s">
        <v>90</v>
      </c>
      <c r="H15" s="6" t="s">
        <v>14</v>
      </c>
      <c r="I15" s="7"/>
      <c r="J15" s="10" t="s">
        <v>37</v>
      </c>
    </row>
    <row r="16" spans="1:10" x14ac:dyDescent="0.25">
      <c r="H16" s="19" t="s">
        <v>36</v>
      </c>
      <c r="I16" s="19"/>
    </row>
    <row r="17" spans="2:10" x14ac:dyDescent="0.25">
      <c r="B17" t="str">
        <f>_xlfn.CONCAT($H$16," ",H16)</f>
        <v>Contact Information: Person Applying for Construction Permit Contact Information: Person Applying for Construction Permit</v>
      </c>
      <c r="C17" t="s">
        <v>90</v>
      </c>
      <c r="H17" s="5" t="s">
        <v>5</v>
      </c>
      <c r="I17" s="3" t="s">
        <v>15</v>
      </c>
    </row>
    <row r="18" spans="2:10" x14ac:dyDescent="0.25">
      <c r="B18" t="str">
        <f>_xlfn.CONCAT($H$16," ",H17)</f>
        <v>Contact Information: Person Applying for Construction Permit Name</v>
      </c>
      <c r="C18" t="s">
        <v>90</v>
      </c>
      <c r="H18" s="6" t="s">
        <v>12</v>
      </c>
      <c r="I18" s="7" t="s">
        <v>16</v>
      </c>
    </row>
    <row r="19" spans="2:10" x14ac:dyDescent="0.25">
      <c r="B19" t="str">
        <f>_xlfn.CONCAT($H$16," ",H18)</f>
        <v>Contact Information: Person Applying for Construction Permit Address</v>
      </c>
      <c r="C19" t="s">
        <v>90</v>
      </c>
      <c r="H19" s="5" t="s">
        <v>13</v>
      </c>
      <c r="I19" s="3" t="s">
        <v>17</v>
      </c>
    </row>
    <row r="20" spans="2:10" x14ac:dyDescent="0.25">
      <c r="B20" t="str">
        <f>_xlfn.CONCAT($H$16," ",H19)</f>
        <v>Contact Information: Person Applying for Construction Permit Phone Number</v>
      </c>
      <c r="C20" t="s">
        <v>90</v>
      </c>
      <c r="H20" s="6" t="s">
        <v>14</v>
      </c>
      <c r="I20" s="7" t="s">
        <v>18</v>
      </c>
    </row>
    <row r="21" spans="2:10" x14ac:dyDescent="0.25">
      <c r="H21" s="19" t="s">
        <v>32</v>
      </c>
      <c r="I21" s="19"/>
    </row>
    <row r="22" spans="2:10" x14ac:dyDescent="0.25">
      <c r="B22" t="str">
        <f>_xlfn.CONCAT($H$21,": ",H21)</f>
        <v>Owner's Confirmation of Commitment: Owner's Confirmation of Commitment</v>
      </c>
      <c r="C22" t="s">
        <v>90</v>
      </c>
      <c r="H22" s="6" t="s">
        <v>33</v>
      </c>
      <c r="I22" s="7"/>
      <c r="J22" s="10" t="s">
        <v>37</v>
      </c>
    </row>
    <row r="23" spans="2:10" x14ac:dyDescent="0.25">
      <c r="B23" t="str">
        <f>_xlfn.CONCAT($H$21,": ",H22)</f>
        <v>Owner's Confirmation of Commitment: Owner Name</v>
      </c>
      <c r="C23" t="s">
        <v>90</v>
      </c>
      <c r="H23" s="5" t="s">
        <v>31</v>
      </c>
      <c r="I23" s="11" t="str">
        <f>I3</f>
        <v>Fraser</v>
      </c>
    </row>
    <row r="24" spans="2:10" x14ac:dyDescent="0.25">
      <c r="B24" t="str">
        <f>_xlfn.CONCAT($H$21,": ",H23)</f>
        <v>Owner's Confirmation of Commitment: Health Authority</v>
      </c>
      <c r="C24" t="s">
        <v>90</v>
      </c>
      <c r="H24" s="6" t="s">
        <v>8</v>
      </c>
      <c r="I24" s="12">
        <f ca="1">I10</f>
        <v>45947</v>
      </c>
    </row>
    <row r="25" spans="2:10" x14ac:dyDescent="0.25">
      <c r="H25" s="19" t="s">
        <v>19</v>
      </c>
      <c r="I25" s="19"/>
    </row>
    <row r="26" spans="2:10" x14ac:dyDescent="0.25">
      <c r="B26" t="str">
        <f>_xlfn.CONCAT($H$25,": ",H25)</f>
        <v>General Information: General Information</v>
      </c>
      <c r="C26" t="s">
        <v>90</v>
      </c>
      <c r="H26" s="5" t="s">
        <v>20</v>
      </c>
      <c r="I26" s="2" t="str">
        <f>I8</f>
        <v>AME test pool</v>
      </c>
    </row>
    <row r="27" spans="2:10" x14ac:dyDescent="0.25">
      <c r="B27" t="str">
        <f>_xlfn.CONCAT($H$25,": ",H26)</f>
        <v>General Information: Name of Pool:</v>
      </c>
      <c r="C27" t="s">
        <v>90</v>
      </c>
      <c r="H27" s="6" t="s">
        <v>21</v>
      </c>
      <c r="I27" s="4" t="str">
        <f>I9</f>
        <v>1175 Douglas St #912, Victoria, BC V8W 2E1</v>
      </c>
    </row>
    <row r="28" spans="2:10" x14ac:dyDescent="0.25">
      <c r="B28" t="str">
        <f>_xlfn.CONCAT($H$25,": ",H27)</f>
        <v>General Information: Civic Address:</v>
      </c>
      <c r="C28" t="s">
        <v>91</v>
      </c>
      <c r="D28" t="s">
        <v>24</v>
      </c>
      <c r="H28" s="5" t="s">
        <v>22</v>
      </c>
      <c r="I28" s="3" t="s">
        <v>26</v>
      </c>
    </row>
    <row r="29" spans="2:10" x14ac:dyDescent="0.25">
      <c r="D29" t="s">
        <v>25</v>
      </c>
      <c r="H29" s="5"/>
      <c r="I29" s="3"/>
    </row>
    <row r="30" spans="2:10" x14ac:dyDescent="0.25">
      <c r="D30" t="s">
        <v>26</v>
      </c>
      <c r="H30" s="5"/>
      <c r="I30" s="3"/>
    </row>
    <row r="31" spans="2:10" x14ac:dyDescent="0.25">
      <c r="D31" t="s">
        <v>27</v>
      </c>
      <c r="H31" s="5"/>
      <c r="I31" s="3"/>
    </row>
    <row r="32" spans="2:10" x14ac:dyDescent="0.25">
      <c r="D32" t="s">
        <v>28</v>
      </c>
      <c r="H32" s="5"/>
      <c r="I32" s="3"/>
    </row>
    <row r="33" spans="2:10" x14ac:dyDescent="0.25">
      <c r="B33" t="str">
        <f>_xlfn.CONCAT($H$25,": ",H28)</f>
        <v>General Information: Pool Type:</v>
      </c>
      <c r="C33" t="s">
        <v>91</v>
      </c>
      <c r="D33" t="s">
        <v>29</v>
      </c>
      <c r="H33" s="6" t="s">
        <v>23</v>
      </c>
      <c r="I33" s="7" t="s">
        <v>29</v>
      </c>
    </row>
    <row r="34" spans="2:10" x14ac:dyDescent="0.25">
      <c r="D34" t="s">
        <v>30</v>
      </c>
      <c r="H34" s="6"/>
      <c r="I34" s="7"/>
    </row>
    <row r="35" spans="2:10" x14ac:dyDescent="0.25">
      <c r="H35" s="19" t="s">
        <v>38</v>
      </c>
      <c r="I35" s="19"/>
    </row>
    <row r="36" spans="2:10" x14ac:dyDescent="0.25">
      <c r="B36" t="str">
        <f>_xlfn.CONCAT($H$35,": ",H35)</f>
        <v>Owner Information: Owner Information</v>
      </c>
      <c r="C36" t="s">
        <v>90</v>
      </c>
      <c r="H36" s="5" t="s">
        <v>5</v>
      </c>
      <c r="I36" s="3" t="s">
        <v>15</v>
      </c>
      <c r="J36" s="10" t="s">
        <v>37</v>
      </c>
    </row>
    <row r="37" spans="2:10" x14ac:dyDescent="0.25">
      <c r="B37" t="str">
        <f>_xlfn.CONCAT($H$35,": ",H36)</f>
        <v>Owner Information: Name</v>
      </c>
      <c r="C37" t="s">
        <v>90</v>
      </c>
      <c r="H37" s="6" t="s">
        <v>12</v>
      </c>
      <c r="I37" s="7" t="s">
        <v>16</v>
      </c>
      <c r="J37" s="10" t="s">
        <v>37</v>
      </c>
    </row>
    <row r="38" spans="2:10" x14ac:dyDescent="0.25">
      <c r="B38" t="str">
        <f>_xlfn.CONCAT($H$35,": ",H37)</f>
        <v>Owner Information: Address</v>
      </c>
      <c r="C38" t="s">
        <v>90</v>
      </c>
      <c r="H38" s="5" t="s">
        <v>13</v>
      </c>
      <c r="I38" s="3" t="s">
        <v>17</v>
      </c>
      <c r="J38" s="10" t="s">
        <v>37</v>
      </c>
    </row>
    <row r="39" spans="2:10" x14ac:dyDescent="0.25">
      <c r="B39" t="str">
        <f>_xlfn.CONCAT($H$35,": ",H38)</f>
        <v>Owner Information: Phone Number</v>
      </c>
      <c r="C39" t="s">
        <v>90</v>
      </c>
      <c r="H39" s="6" t="s">
        <v>14</v>
      </c>
      <c r="I39" s="7" t="s">
        <v>18</v>
      </c>
      <c r="J39" s="10" t="s">
        <v>37</v>
      </c>
    </row>
    <row r="40" spans="2:10" x14ac:dyDescent="0.25">
      <c r="H40" s="19" t="s">
        <v>39</v>
      </c>
      <c r="I40" s="19"/>
    </row>
    <row r="41" spans="2:10" x14ac:dyDescent="0.25">
      <c r="B41" t="str">
        <f t="shared" ref="B41:B46" si="0">_xlfn.CONCAT($H$40,": ",H40)</f>
        <v>Designer Information (Append additional information for multiple designers): Designer Information (Append additional information for multiple designers)</v>
      </c>
      <c r="C41" t="s">
        <v>90</v>
      </c>
      <c r="H41" s="6" t="s">
        <v>5</v>
      </c>
      <c r="I41" s="4" t="str">
        <f>I17</f>
        <v>John Doe</v>
      </c>
    </row>
    <row r="42" spans="2:10" x14ac:dyDescent="0.25">
      <c r="B42" t="str">
        <f t="shared" si="0"/>
        <v>Designer Information (Append additional information for multiple designers): Name</v>
      </c>
      <c r="C42" t="s">
        <v>90</v>
      </c>
      <c r="H42" s="5" t="s">
        <v>42</v>
      </c>
      <c r="I42" s="3" t="s">
        <v>43</v>
      </c>
    </row>
    <row r="43" spans="2:10" x14ac:dyDescent="0.25">
      <c r="B43" t="str">
        <f t="shared" si="0"/>
        <v>Designer Information (Append additional information for multiple designers): Professional Designation</v>
      </c>
      <c r="C43" t="s">
        <v>90</v>
      </c>
      <c r="H43" s="6" t="s">
        <v>40</v>
      </c>
      <c r="I43" s="7" t="s">
        <v>41</v>
      </c>
    </row>
    <row r="44" spans="2:10" x14ac:dyDescent="0.25">
      <c r="B44" t="str">
        <f t="shared" si="0"/>
        <v>Designer Information (Append additional information for multiple designers): Company (Legal Corporate)</v>
      </c>
      <c r="C44" t="s">
        <v>90</v>
      </c>
      <c r="H44" s="5" t="s">
        <v>12</v>
      </c>
      <c r="I44" s="2" t="str">
        <f>I18</f>
        <v>638 Smithe St Suite 200, Vancouver, BC V6B 1E3</v>
      </c>
    </row>
    <row r="45" spans="2:10" x14ac:dyDescent="0.25">
      <c r="B45" t="str">
        <f t="shared" si="0"/>
        <v>Designer Information (Append additional information for multiple designers): Address</v>
      </c>
      <c r="C45" t="s">
        <v>90</v>
      </c>
      <c r="H45" s="6" t="s">
        <v>13</v>
      </c>
      <c r="I45" s="4" t="str">
        <f>I19</f>
        <v>098-765-4321</v>
      </c>
    </row>
    <row r="46" spans="2:10" x14ac:dyDescent="0.25">
      <c r="B46" t="str">
        <f t="shared" si="0"/>
        <v>Designer Information (Append additional information for multiple designers): Phone Number</v>
      </c>
      <c r="C46" t="s">
        <v>90</v>
      </c>
      <c r="H46" s="5" t="s">
        <v>14</v>
      </c>
      <c r="I46" s="2" t="str">
        <f>I20</f>
        <v>random@icould.com</v>
      </c>
    </row>
    <row r="47" spans="2:10" x14ac:dyDescent="0.25">
      <c r="H47" s="19" t="s">
        <v>44</v>
      </c>
      <c r="I47" s="19"/>
    </row>
    <row r="48" spans="2:10" x14ac:dyDescent="0.25">
      <c r="B48" t="str">
        <f t="shared" ref="B48:B65" si="1">_xlfn.CONCAT($H$47,": ",H47)</f>
        <v>General Pool Parameters: General Pool Parameters</v>
      </c>
      <c r="C48" t="s">
        <v>90</v>
      </c>
      <c r="H48" s="5" t="s">
        <v>45</v>
      </c>
      <c r="I48" s="13">
        <v>300</v>
      </c>
    </row>
    <row r="49" spans="2:10" x14ac:dyDescent="0.25">
      <c r="B49" t="str">
        <f t="shared" si="1"/>
        <v>General Pool Parameters: Pool Volume: (m^3)</v>
      </c>
      <c r="C49" t="s">
        <v>90</v>
      </c>
      <c r="H49" s="6" t="s">
        <v>46</v>
      </c>
      <c r="I49" s="14">
        <v>2.33</v>
      </c>
    </row>
    <row r="50" spans="2:10" x14ac:dyDescent="0.25">
      <c r="B50" t="str">
        <f t="shared" si="1"/>
        <v>General Pool Parameters: Turnover: (hours)</v>
      </c>
      <c r="C50" t="s">
        <v>90</v>
      </c>
      <c r="H50" s="5" t="s">
        <v>47</v>
      </c>
      <c r="I50" s="13">
        <v>1200</v>
      </c>
    </row>
    <row r="51" spans="2:10" x14ac:dyDescent="0.25">
      <c r="B51" t="str">
        <f t="shared" si="1"/>
        <v>General Pool Parameters: Design Re-circulation Flow Rate: (L/sec)</v>
      </c>
      <c r="C51" t="s">
        <v>90</v>
      </c>
      <c r="H51" s="6" t="s">
        <v>48</v>
      </c>
      <c r="I51" s="14">
        <v>30</v>
      </c>
    </row>
    <row r="52" spans="2:10" x14ac:dyDescent="0.25">
      <c r="B52" t="str">
        <f t="shared" si="1"/>
        <v>General Pool Parameters: Pool Area (m^2)</v>
      </c>
      <c r="C52" t="s">
        <v>90</v>
      </c>
      <c r="H52" s="5" t="s">
        <v>49</v>
      </c>
      <c r="I52" s="13">
        <v>20</v>
      </c>
    </row>
    <row r="53" spans="2:10" x14ac:dyDescent="0.25">
      <c r="B53" t="str">
        <f t="shared" si="1"/>
        <v>General Pool Parameters: Deck Area (m^2)</v>
      </c>
      <c r="C53" t="s">
        <v>90</v>
      </c>
      <c r="H53" s="6" t="s">
        <v>50</v>
      </c>
      <c r="I53" s="14">
        <v>1</v>
      </c>
      <c r="J53" s="10" t="s">
        <v>61</v>
      </c>
    </row>
    <row r="54" spans="2:10" x14ac:dyDescent="0.25">
      <c r="B54" t="str">
        <f t="shared" si="1"/>
        <v>General Pool Parameters: Minimum Water Depth</v>
      </c>
      <c r="C54" t="s">
        <v>90</v>
      </c>
      <c r="H54" s="5" t="s">
        <v>51</v>
      </c>
      <c r="I54" s="13">
        <v>3</v>
      </c>
    </row>
    <row r="55" spans="2:10" x14ac:dyDescent="0.25">
      <c r="B55" t="str">
        <f t="shared" si="1"/>
        <v>General Pool Parameters: Maximum Water Depth</v>
      </c>
      <c r="C55" t="s">
        <v>90</v>
      </c>
      <c r="H55" s="6" t="s">
        <v>52</v>
      </c>
      <c r="I55" s="14">
        <v>100</v>
      </c>
    </row>
    <row r="56" spans="2:10" x14ac:dyDescent="0.25">
      <c r="B56" t="str">
        <f t="shared" si="1"/>
        <v>General Pool Parameters: Shallow Bathing Load</v>
      </c>
      <c r="C56" t="s">
        <v>90</v>
      </c>
      <c r="H56" s="5" t="s">
        <v>53</v>
      </c>
      <c r="I56" s="13">
        <v>100</v>
      </c>
    </row>
    <row r="57" spans="2:10" x14ac:dyDescent="0.25">
      <c r="B57" t="str">
        <f t="shared" si="1"/>
        <v>General Pool Parameters: Deep Bathing Load</v>
      </c>
      <c r="C57" t="s">
        <v>90</v>
      </c>
      <c r="H57" s="6" t="s">
        <v>54</v>
      </c>
      <c r="I57" s="15">
        <f>SUM(I55:I56)</f>
        <v>200</v>
      </c>
    </row>
    <row r="58" spans="2:10" x14ac:dyDescent="0.25">
      <c r="B58" t="str">
        <f t="shared" si="1"/>
        <v>General Pool Parameters: Total Bathing Load</v>
      </c>
      <c r="C58" t="s">
        <v>90</v>
      </c>
      <c r="H58" s="5" t="s">
        <v>55</v>
      </c>
      <c r="I58" s="13" t="s">
        <v>76</v>
      </c>
    </row>
    <row r="59" spans="2:10" x14ac:dyDescent="0.25">
      <c r="B59" t="str">
        <f t="shared" si="1"/>
        <v>General Pool Parameters: Pool Basin Color</v>
      </c>
      <c r="C59" t="s">
        <v>91</v>
      </c>
      <c r="D59" t="s">
        <v>99</v>
      </c>
      <c r="E59"/>
      <c r="H59" s="6" t="s">
        <v>56</v>
      </c>
      <c r="I59" s="14" t="s">
        <v>58</v>
      </c>
    </row>
    <row r="60" spans="2:10" x14ac:dyDescent="0.25">
      <c r="B60" t="str">
        <f t="shared" si="1"/>
        <v>General Pool Parameters: Complies with Pool Regulations</v>
      </c>
      <c r="C60" t="s">
        <v>91</v>
      </c>
      <c r="D60" t="s">
        <v>100</v>
      </c>
      <c r="E60"/>
      <c r="H60" s="5" t="s">
        <v>60</v>
      </c>
      <c r="I60" s="13" t="s">
        <v>65</v>
      </c>
    </row>
    <row r="61" spans="2:10" x14ac:dyDescent="0.25">
      <c r="B61" t="str">
        <f t="shared" si="1"/>
        <v>General Pool Parameters: Filters</v>
      </c>
      <c r="C61" t="s">
        <v>91</v>
      </c>
      <c r="D61" t="s">
        <v>99</v>
      </c>
      <c r="E61"/>
      <c r="H61" s="6" t="s">
        <v>66</v>
      </c>
      <c r="I61" s="14" t="s">
        <v>58</v>
      </c>
    </row>
    <row r="62" spans="2:10" x14ac:dyDescent="0.25">
      <c r="B62" t="str">
        <f t="shared" si="1"/>
        <v>General Pool Parameters: NSF Approved</v>
      </c>
      <c r="C62" t="s">
        <v>90</v>
      </c>
      <c r="H62" s="5" t="s">
        <v>67</v>
      </c>
      <c r="I62" s="13">
        <v>2</v>
      </c>
    </row>
    <row r="63" spans="2:10" x14ac:dyDescent="0.25">
      <c r="B63" t="str">
        <f t="shared" si="1"/>
        <v>General Pool Parameters: Pressure Gauge Quantity</v>
      </c>
      <c r="C63" t="s">
        <v>90</v>
      </c>
      <c r="H63" s="6" t="s">
        <v>68</v>
      </c>
      <c r="I63" s="14">
        <v>2</v>
      </c>
    </row>
    <row r="64" spans="2:10" x14ac:dyDescent="0.25">
      <c r="B64" t="str">
        <f t="shared" si="1"/>
        <v>General Pool Parameters: Vacuum Gauge Quantity</v>
      </c>
      <c r="C64" t="s">
        <v>90</v>
      </c>
      <c r="H64" s="5" t="s">
        <v>69</v>
      </c>
      <c r="I64" s="13">
        <v>1</v>
      </c>
    </row>
    <row r="65" spans="2:9" x14ac:dyDescent="0.25">
      <c r="B65" t="str">
        <f t="shared" si="1"/>
        <v>General Pool Parameters: Temperature Gauge Quantity</v>
      </c>
      <c r="C65" t="s">
        <v>91</v>
      </c>
      <c r="D65" t="str">
        <f>_xlfn.CONCAT(Backend!H2,",",Backend!H3,",",Backend!H4,",",Backend!H5,",",Backend!H6)</f>
        <v>Hypochlorite,Chlorine Gas,Stabilized Chlorine,Bromine,Other</v>
      </c>
      <c r="E65" t="str">
        <f>_xlfn.CONCAT(Backend!I2,",",Backend!I3,",",Backend!I4,",",Backend!I5,",",Backend!I6)</f>
        <v>,,,,</v>
      </c>
      <c r="H65" s="6" t="s">
        <v>70</v>
      </c>
      <c r="I65" s="14" t="s">
        <v>71</v>
      </c>
    </row>
  </sheetData>
  <mergeCells count="8">
    <mergeCell ref="H47:I47"/>
    <mergeCell ref="H35:I35"/>
    <mergeCell ref="H40:I40"/>
    <mergeCell ref="H2:I2"/>
    <mergeCell ref="H11:I11"/>
    <mergeCell ref="H16:I16"/>
    <mergeCell ref="H25:I25"/>
    <mergeCell ref="H21:I21"/>
  </mergeCells>
  <phoneticPr fontId="5" type="noConversion"/>
  <conditionalFormatting sqref="D2 D26 D64 D4 D6 D8 D10 D12 D14 D16 D18 D20 D22 D24 D28 D30 D32 D34 D36 D38 D40 D42 D44 D46 D48 D50 D52 D54 D56 D60 D58 D62">
    <cfRule type="expression" dxfId="0" priority="6">
      <formula>ISBLANK(D2)</formula>
    </cfRule>
  </conditionalFormatting>
  <conditionalFormatting sqref="D66">
    <cfRule type="expression" dxfId="5" priority="5">
      <formula>ISBLANK(D66)</formula>
    </cfRule>
  </conditionalFormatting>
  <conditionalFormatting sqref="D68">
    <cfRule type="expression" dxfId="4" priority="4">
      <formula>ISBLANK(D68)</formula>
    </cfRule>
  </conditionalFormatting>
  <conditionalFormatting sqref="D70">
    <cfRule type="expression" dxfId="3" priority="3">
      <formula>ISBLANK(D70)</formula>
    </cfRule>
  </conditionalFormatting>
  <conditionalFormatting sqref="G4 G6">
    <cfRule type="expression" dxfId="2" priority="2">
      <formula>ISBLANK(G4)</formula>
    </cfRule>
  </conditionalFormatting>
  <conditionalFormatting sqref="D3 D5 D7 D9 D11 D13 D15 D17 D19 D21 D23 D25 D27 D29 D31 D33 D35 D37 D39 D41 D43 D45 D47 D49 D51 D53 D55 D59 D63 D57 D61">
    <cfRule type="expression" dxfId="1" priority="1">
      <formula>ISBLANK(D3)</formula>
    </cfRule>
  </conditionalFormatting>
  <dataValidations disablePrompts="1" count="3">
    <dataValidation type="list" allowBlank="1" showInputMessage="1" showErrorMessage="1" sqref="I3" xr:uid="{DBDA0B2E-73C7-461D-9A78-8C9C0FC3C8EE}">
      <formula1>$D$3:$D$7</formula1>
    </dataValidation>
    <dataValidation type="list" allowBlank="1" showInputMessage="1" showErrorMessage="1" sqref="I28" xr:uid="{2A4FBB3A-AF25-40CF-A7C5-68C363A144AC}">
      <formula1>$G$28:$G$32</formula1>
    </dataValidation>
    <dataValidation type="list" allowBlank="1" showInputMessage="1" showErrorMessage="1" sqref="I33" xr:uid="{4F3AB38D-0522-46BE-8207-6886168C0716}">
      <formula1>$G$33:$G$34</formula1>
    </dataValidation>
  </dataValidations>
  <hyperlinks>
    <hyperlink ref="I20" r:id="rId1" xr:uid="{F23C4D8F-D3A5-41F8-8768-957B6ED66387}"/>
    <hyperlink ref="I39" r:id="rId2" xr:uid="{7C1EE75F-8A56-4E1F-8F6D-E3D927261E7F}"/>
    <hyperlink ref="I45" r:id="rId3" display="random@icould.com" xr:uid="{0D1B7BBF-15B3-4CFC-9039-2B5392E32994}"/>
  </hyperlinks>
  <pageMargins left="0.7" right="0.7" top="0.75" bottom="0.75" header="0.3" footer="0.3"/>
  <pageSetup orientation="portrait" horizontalDpi="300" verticalDpi="300" r:id="rId4"/>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E16A27BC-15E6-475F-BB89-94A0C07741A8}">
          <x14:formula1>
            <xm:f>Backend!$B$2:$B$6</xm:f>
          </x14:formula1>
          <xm:sqref>I29:I32</xm:sqref>
        </x14:dataValidation>
        <x14:dataValidation type="list" allowBlank="1" showInputMessage="1" showErrorMessage="1" xr:uid="{B3132453-0252-43A7-BEC0-13862065EF0E}">
          <x14:formula1>
            <xm:f>Backend!$C$2:$C$3</xm:f>
          </x14:formula1>
          <xm:sqref>I34</xm:sqref>
        </x14:dataValidation>
        <x14:dataValidation type="list" allowBlank="1" showInputMessage="1" showErrorMessage="1" xr:uid="{30E8FBE2-C2FC-4B6D-9F98-1AD125B8C425}">
          <x14:formula1>
            <xm:f>Backend!$E$2:$E$3</xm:f>
          </x14:formula1>
          <xm:sqref>I42</xm:sqref>
        </x14:dataValidation>
        <x14:dataValidation type="list" allowBlank="1" showInputMessage="1" showErrorMessage="1" xr:uid="{D7F0EB7B-BBFF-45D3-B222-8DBEA2A4E2AA}">
          <x14:formula1>
            <xm:f>Backend!$F$2:$F$3</xm:f>
          </x14:formula1>
          <xm:sqref>I59 I61</xm:sqref>
        </x14:dataValidation>
        <x14:dataValidation type="list" allowBlank="1" showInputMessage="1" showErrorMessage="1" xr:uid="{85EB1F5D-2C0D-4619-81F3-F49B63FA8937}">
          <x14:formula1>
            <xm:f>Backend!$G$2:$G$6</xm:f>
          </x14:formula1>
          <xm:sqref>I60</xm:sqref>
        </x14:dataValidation>
        <x14:dataValidation type="list" allowBlank="1" showInputMessage="1" showErrorMessage="1" xr:uid="{3BF7E381-8828-457B-A727-E2C5CC93B0AF}">
          <x14:formula1>
            <xm:f>Backend!$H$2:$H$6</xm:f>
          </x14:formula1>
          <xm:sqref>I65</xm:sqref>
        </x14:dataValidation>
        <x14:dataValidation type="list" allowBlank="1" showInputMessage="1" showErrorMessage="1" xr:uid="{F3641AE7-F3E1-4130-BA9D-61DF5A2A44B2}">
          <x14:formula1>
            <xm:f>Backend!$I$2:$I$3</xm:f>
          </x14:formula1>
          <xm:sqref>C2:C65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0A74-45BA-42EE-9251-9C730233F3C6}">
  <sheetPr codeName="Sheet2"/>
  <dimension ref="A1:I6"/>
  <sheetViews>
    <sheetView workbookViewId="0">
      <selection activeCell="L5" sqref="L5:L6"/>
    </sheetView>
  </sheetViews>
  <sheetFormatPr defaultRowHeight="15" x14ac:dyDescent="0.25"/>
  <cols>
    <col min="1" max="1" width="17.5703125" bestFit="1" customWidth="1"/>
    <col min="2" max="2" width="16.140625" bestFit="1" customWidth="1"/>
    <col min="3" max="3" width="15.28515625" bestFit="1" customWidth="1"/>
    <col min="4" max="4" width="15.85546875" bestFit="1" customWidth="1"/>
    <col min="5" max="5" width="23.42578125" bestFit="1" customWidth="1"/>
    <col min="7" max="7" width="21.140625" customWidth="1"/>
    <col min="8" max="8" width="18" bestFit="1" customWidth="1"/>
    <col min="9" max="9" width="20.5703125" bestFit="1" customWidth="1"/>
  </cols>
  <sheetData>
    <row r="1" spans="1:9" x14ac:dyDescent="0.25">
      <c r="A1" s="1"/>
      <c r="B1" s="1"/>
      <c r="C1" s="1"/>
      <c r="D1" s="1"/>
      <c r="E1" s="1"/>
      <c r="F1" s="1" t="s">
        <v>57</v>
      </c>
      <c r="G1" s="1" t="s">
        <v>60</v>
      </c>
      <c r="H1" s="1" t="s">
        <v>70</v>
      </c>
      <c r="I1" s="1"/>
    </row>
    <row r="2" spans="1:9" x14ac:dyDescent="0.25">
      <c r="F2" t="s">
        <v>58</v>
      </c>
      <c r="G2" t="s">
        <v>62</v>
      </c>
      <c r="H2" t="s">
        <v>71</v>
      </c>
    </row>
    <row r="3" spans="1:9" x14ac:dyDescent="0.25">
      <c r="F3" t="s">
        <v>59</v>
      </c>
      <c r="G3" t="s">
        <v>77</v>
      </c>
      <c r="H3" t="s">
        <v>72</v>
      </c>
    </row>
    <row r="4" spans="1:9" x14ac:dyDescent="0.25">
      <c r="G4" t="s">
        <v>63</v>
      </c>
      <c r="H4" t="s">
        <v>73</v>
      </c>
    </row>
    <row r="5" spans="1:9" x14ac:dyDescent="0.25">
      <c r="G5" t="s">
        <v>64</v>
      </c>
      <c r="H5" t="s">
        <v>74</v>
      </c>
    </row>
    <row r="6" spans="1:9" x14ac:dyDescent="0.25">
      <c r="G6" t="s">
        <v>65</v>
      </c>
      <c r="H6" t="s">
        <v>75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Pool Data For Export</vt:lpstr>
      <vt:lpstr>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Bennett Steers</dc:creator>
  <cp:lastModifiedBy>Bennett Steers</cp:lastModifiedBy>
  <dcterms:created xsi:type="dcterms:W3CDTF">2015-06-05T18:17:20Z</dcterms:created>
  <dcterms:modified xsi:type="dcterms:W3CDTF">2025-10-17T07:24:07Z</dcterms:modified>
</cp:coreProperties>
</file>