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benne\GitHub\Misc-Python-Stuff\Pool Data Sheet Filler\"/>
    </mc:Choice>
  </mc:AlternateContent>
  <xr:revisionPtr revIDLastSave="0" documentId="13_ncr:1_{4922D1BC-07C8-4760-BE39-F55E3BEB786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Pool Data For Export" sheetId="1" r:id="rId1"/>
    <sheet name="Backend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7" i="1" l="1"/>
  <c r="B36" i="1"/>
  <c r="B35" i="1"/>
  <c r="B34" i="1"/>
  <c r="B31" i="1"/>
  <c r="B18" i="1"/>
  <c r="B22" i="1"/>
  <c r="B21" i="1"/>
  <c r="B5" i="1"/>
  <c r="B19" i="1" s="1"/>
</calcChain>
</file>

<file path=xl/sharedStrings.xml><?xml version="1.0" encoding="utf-8"?>
<sst xmlns="http://schemas.openxmlformats.org/spreadsheetml/2006/main" count="123" uniqueCount="84">
  <si>
    <t>Fraser</t>
  </si>
  <si>
    <t>Interior</t>
  </si>
  <si>
    <t>Island</t>
  </si>
  <si>
    <t>Northern</t>
  </si>
  <si>
    <t>Health Authorities</t>
  </si>
  <si>
    <t>Coastal</t>
  </si>
  <si>
    <t>Name</t>
  </si>
  <si>
    <t>Application To:</t>
  </si>
  <si>
    <t>Name of Pool</t>
  </si>
  <si>
    <t>Date</t>
  </si>
  <si>
    <t>1175 Douglas St #912, Victoria, BC V8W 2E1</t>
  </si>
  <si>
    <t>Street Adress</t>
  </si>
  <si>
    <t>AME test pool</t>
  </si>
  <si>
    <t>Address</t>
  </si>
  <si>
    <t>Phone Number</t>
  </si>
  <si>
    <t>Email</t>
  </si>
  <si>
    <t>John Doe</t>
  </si>
  <si>
    <t>638 Smithe St Suite 200, Vancouver, BC V6B 1E3</t>
  </si>
  <si>
    <t>098-765-4321</t>
  </si>
  <si>
    <t>random@icould.com</t>
  </si>
  <si>
    <t>General Information</t>
  </si>
  <si>
    <t>Name of Pool:</t>
  </si>
  <si>
    <t>Civic Address:</t>
  </si>
  <si>
    <t>Pool Type:</t>
  </si>
  <si>
    <t>Pool Type</t>
  </si>
  <si>
    <t>Indoor/Outdoor</t>
  </si>
  <si>
    <t>Public Pool</t>
  </si>
  <si>
    <t>Commercial Pool</t>
  </si>
  <si>
    <t>Hot Tub</t>
  </si>
  <si>
    <t>Spray Pool</t>
  </si>
  <si>
    <t>Wading Pool</t>
  </si>
  <si>
    <t>Indoor</t>
  </si>
  <si>
    <t>Outdoor</t>
  </si>
  <si>
    <t>Text</t>
  </si>
  <si>
    <t>Input Type</t>
  </si>
  <si>
    <t>Checkbox</t>
  </si>
  <si>
    <t>Health Authority</t>
  </si>
  <si>
    <t>Owner's Confirmation of Commitment</t>
  </si>
  <si>
    <t>Owner Name</t>
  </si>
  <si>
    <t>Notes</t>
  </si>
  <si>
    <t>Contact Information: Owner or Agent</t>
  </si>
  <si>
    <t>Contact Information: Person Applying for Construction Permit</t>
  </si>
  <si>
    <t>Normally Filled out by owner, can be left blank</t>
  </si>
  <si>
    <t>Owner Information</t>
  </si>
  <si>
    <t>Designer Information (Append additional information for multiple designers)</t>
  </si>
  <si>
    <t>Company (Legal Corporate)</t>
  </si>
  <si>
    <t>The AME Consulting Group</t>
  </si>
  <si>
    <t>Professional Designation</t>
  </si>
  <si>
    <t>Arch</t>
  </si>
  <si>
    <t>PEng</t>
  </si>
  <si>
    <t>General Pool Parameters</t>
  </si>
  <si>
    <t>Pool Volume: (m^3)</t>
  </si>
  <si>
    <t>Turnover: (hours)</t>
  </si>
  <si>
    <t>Design Re-circulation Flow Rate: (L/sec)</t>
  </si>
  <si>
    <t>Pool Area (m^2)</t>
  </si>
  <si>
    <t>Deck Area (m^2)</t>
  </si>
  <si>
    <t>Minimum Water Depth</t>
  </si>
  <si>
    <t>Maximum Water Depth</t>
  </si>
  <si>
    <t>Shallow Bathing Load</t>
  </si>
  <si>
    <t>Deep Bathing Load</t>
  </si>
  <si>
    <t>Total Bathing Load</t>
  </si>
  <si>
    <t>Pool Basin Color</t>
  </si>
  <si>
    <t>Complies with Pool Regulations</t>
  </si>
  <si>
    <t>Yes/No</t>
  </si>
  <si>
    <t>Yes</t>
  </si>
  <si>
    <t>No</t>
  </si>
  <si>
    <t>Filters</t>
  </si>
  <si>
    <t>Modify Cell to exclude ramps</t>
  </si>
  <si>
    <t>Sand</t>
  </si>
  <si>
    <t>Pressure</t>
  </si>
  <si>
    <t>Vacuum</t>
  </si>
  <si>
    <t>Gravity</t>
  </si>
  <si>
    <t>NSF Approved</t>
  </si>
  <si>
    <t>Pressure Gauge Quantity</t>
  </si>
  <si>
    <t>Vacuum Gauge Quantity</t>
  </si>
  <si>
    <t>Temperature Gauge Quantity</t>
  </si>
  <si>
    <t>Disinfection</t>
  </si>
  <si>
    <t>Hypochlorite</t>
  </si>
  <si>
    <t>Chlorine Gas</t>
  </si>
  <si>
    <t>Stabilized Chlorine</t>
  </si>
  <si>
    <t>Bromine</t>
  </si>
  <si>
    <t>Other</t>
  </si>
  <si>
    <t>Blue</t>
  </si>
  <si>
    <t>D.E.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</si>
</sst>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9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rgb="FFFFFFCC"/>
      </patternFill>
    </fill>
    <fill>
      <patternFill patternType="solid">
        <fgColor theme="9" tint="0.39997558519241921"/>
        <bgColor indexed="65"/>
      </patternFill>
    </fill>
  </fills>
  <borders count="3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8">
    <xf numFmtId="0" fontId="0" fillId="0" borderId="0"/>
    <xf numFmtId="0" fontId="2" fillId="2" borderId="0" applyNumberFormat="0" applyBorder="0" applyAlignment="0" applyProtection="0"/>
    <xf numFmtId="0" fontId="3" fillId="3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6" borderId="0" applyNumberFormat="0" applyBorder="0" applyAlignment="0" applyProtection="0"/>
    <xf numFmtId="0" fontId="3" fillId="7" borderId="2" applyNumberFormat="0" applyFont="0" applyAlignment="0" applyProtection="0"/>
    <xf numFmtId="0" fontId="3" fillId="8" borderId="0" applyNumberFormat="0" applyBorder="0" applyAlignment="0" applyProtection="0"/>
  </cellStyleXfs>
  <cellXfs count="18">
    <xf numFmtId="0" fontId="0" fillId="0" borderId="0" xfId="0"/>
    <xf numFmtId="0" fontId="1" fillId="0" borderId="0" xfId="0" applyFont="1"/>
    <xf numFmtId="0" fontId="3" fillId="4" borderId="0" xfId="3"/>
    <xf numFmtId="0" fontId="3" fillId="3" borderId="0" xfId="2"/>
    <xf numFmtId="0" fontId="3" fillId="5" borderId="0" xfId="4"/>
    <xf numFmtId="0" fontId="1" fillId="4" borderId="0" xfId="3" applyFont="1"/>
    <xf numFmtId="0" fontId="1" fillId="5" borderId="0" xfId="4" applyFont="1"/>
    <xf numFmtId="0" fontId="3" fillId="6" borderId="0" xfId="5"/>
    <xf numFmtId="14" fontId="3" fillId="6" borderId="0" xfId="5" applyNumberFormat="1" applyAlignment="1">
      <alignment horizontal="left"/>
    </xf>
    <xf numFmtId="0" fontId="3" fillId="8" borderId="0" xfId="7"/>
    <xf numFmtId="0" fontId="0" fillId="7" borderId="2" xfId="6" applyFont="1"/>
    <xf numFmtId="0" fontId="3" fillId="4" borderId="1" xfId="3" applyBorder="1"/>
    <xf numFmtId="14" fontId="3" fillId="5" borderId="1" xfId="4" applyNumberFormat="1" applyBorder="1" applyAlignment="1">
      <alignment horizontal="left"/>
    </xf>
    <xf numFmtId="0" fontId="3" fillId="3" borderId="0" xfId="2" applyAlignment="1">
      <alignment horizontal="left"/>
    </xf>
    <xf numFmtId="0" fontId="3" fillId="6" borderId="0" xfId="5" applyAlignment="1">
      <alignment horizontal="left"/>
    </xf>
    <xf numFmtId="0" fontId="3" fillId="5" borderId="0" xfId="4" applyAlignment="1">
      <alignment horizontal="left"/>
    </xf>
    <xf numFmtId="0" fontId="4" fillId="2" borderId="0" xfId="1" applyFont="1" applyAlignment="1">
      <alignment horizontal="center"/>
    </xf>
    <xf numFmtId="0" fontId="4" fillId="2" borderId="0" xfId="1" applyFont="1" applyAlignment="1">
      <alignment horizontal="center" vertical="center"/>
    </xf>
  </cellXfs>
  <cellStyles count="8">
    <cellStyle name="20% - Accent5" xfId="2" builtinId="46"/>
    <cellStyle name="20% - Accent6" xfId="3" builtinId="50"/>
    <cellStyle name="40% - Accent5" xfId="5" builtinId="47"/>
    <cellStyle name="40% - Accent6" xfId="4" builtinId="51"/>
    <cellStyle name="60% - Accent6" xfId="7" builtinId="52"/>
    <cellStyle name="Accent6" xfId="1" builtinId="49"/>
    <cellStyle name="Normal" xfId="0" builtinId="0"/>
    <cellStyle name="Note" xfId="6" builtinId="1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random@icould.com" TargetMode="External"/><Relationship Id="rId2" Type="http://schemas.openxmlformats.org/officeDocument/2006/relationships/hyperlink" Target="mailto:random@icould.com" TargetMode="External"/><Relationship Id="rId1" Type="http://schemas.openxmlformats.org/officeDocument/2006/relationships/hyperlink" Target="mailto:random@icould.com" TargetMode="Externa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C55"/>
  <sheetViews>
    <sheetView tabSelected="1" topLeftCell="A14" workbookViewId="0">
      <selection activeCell="B23" sqref="B23"/>
    </sheetView>
  </sheetViews>
  <sheetFormatPr defaultRowHeight="14.4" x14ac:dyDescent="0.3"/>
  <cols>
    <col min="1" max="1" width="36.6640625" bestFit="1" customWidth="1"/>
    <col min="2" max="2" width="63.5546875" customWidth="1"/>
    <col min="3" max="3" width="63.44140625" bestFit="1" customWidth="1"/>
    <col min="4" max="4" width="5.33203125" bestFit="1" customWidth="1"/>
    <col min="5" max="7" width="9.6640625" bestFit="1" customWidth="1"/>
  </cols>
  <sheetData>
    <row r="1" spans="1:3" x14ac:dyDescent="0.3">
      <c r="A1" s="16" t="s">
        <v>7</v>
      </c>
      <c r="B1" s="16"/>
      <c r="C1" s="9" t="s">
        <v>39</v>
      </c>
    </row>
    <row r="2" spans="1:3" x14ac:dyDescent="0.3">
      <c r="A2" s="5" t="s">
        <v>36</v>
      </c>
      <c r="B2" s="3" t="s">
        <v>0</v>
      </c>
    </row>
    <row r="3" spans="1:3" x14ac:dyDescent="0.3">
      <c r="A3" s="6" t="s">
        <v>8</v>
      </c>
      <c r="B3" s="7" t="s">
        <v>12</v>
      </c>
    </row>
    <row r="4" spans="1:3" x14ac:dyDescent="0.3">
      <c r="A4" s="5" t="s">
        <v>11</v>
      </c>
      <c r="B4" s="3" t="s">
        <v>10</v>
      </c>
    </row>
    <row r="5" spans="1:3" x14ac:dyDescent="0.3">
      <c r="A5" s="6" t="s">
        <v>9</v>
      </c>
      <c r="B5" s="8">
        <f ca="1">TODAY()</f>
        <v>45931</v>
      </c>
    </row>
    <row r="6" spans="1:3" x14ac:dyDescent="0.3">
      <c r="A6" s="17" t="s">
        <v>40</v>
      </c>
      <c r="B6" s="17"/>
    </row>
    <row r="7" spans="1:3" x14ac:dyDescent="0.3">
      <c r="A7" s="5" t="s">
        <v>6</v>
      </c>
      <c r="B7" s="3"/>
      <c r="C7" s="10" t="s">
        <v>42</v>
      </c>
    </row>
    <row r="8" spans="1:3" x14ac:dyDescent="0.3">
      <c r="A8" s="6" t="s">
        <v>13</v>
      </c>
      <c r="B8" s="7"/>
      <c r="C8" s="10" t="s">
        <v>42</v>
      </c>
    </row>
    <row r="9" spans="1:3" x14ac:dyDescent="0.3">
      <c r="A9" s="5" t="s">
        <v>14</v>
      </c>
      <c r="B9" s="3"/>
      <c r="C9" s="10" t="s">
        <v>42</v>
      </c>
    </row>
    <row r="10" spans="1:3" x14ac:dyDescent="0.3">
      <c r="A10" s="6" t="s">
        <v>15</v>
      </c>
      <c r="B10" s="7"/>
      <c r="C10" s="10" t="s">
        <v>42</v>
      </c>
    </row>
    <row r="11" spans="1:3" x14ac:dyDescent="0.3">
      <c r="A11" s="16" t="s">
        <v>41</v>
      </c>
      <c r="B11" s="16"/>
    </row>
    <row r="12" spans="1:3" x14ac:dyDescent="0.3">
      <c r="A12" s="5" t="s">
        <v>6</v>
      </c>
      <c r="B12" s="3" t="s">
        <v>16</v>
      </c>
    </row>
    <row r="13" spans="1:3" x14ac:dyDescent="0.3">
      <c r="A13" s="6" t="s">
        <v>13</v>
      </c>
      <c r="B13" s="7" t="s">
        <v>17</v>
      </c>
    </row>
    <row r="14" spans="1:3" x14ac:dyDescent="0.3">
      <c r="A14" s="5" t="s">
        <v>14</v>
      </c>
      <c r="B14" s="3" t="s">
        <v>18</v>
      </c>
    </row>
    <row r="15" spans="1:3" x14ac:dyDescent="0.3">
      <c r="A15" s="6" t="s">
        <v>15</v>
      </c>
      <c r="B15" s="7" t="s">
        <v>19</v>
      </c>
    </row>
    <row r="16" spans="1:3" x14ac:dyDescent="0.3">
      <c r="A16" s="16" t="s">
        <v>37</v>
      </c>
      <c r="B16" s="16"/>
    </row>
    <row r="17" spans="1:3" x14ac:dyDescent="0.3">
      <c r="A17" s="6" t="s">
        <v>38</v>
      </c>
      <c r="B17" s="7"/>
      <c r="C17" s="10" t="s">
        <v>42</v>
      </c>
    </row>
    <row r="18" spans="1:3" x14ac:dyDescent="0.3">
      <c r="A18" s="5" t="s">
        <v>36</v>
      </c>
      <c r="B18" s="11" t="str">
        <f>B2</f>
        <v>Fraser</v>
      </c>
    </row>
    <row r="19" spans="1:3" x14ac:dyDescent="0.3">
      <c r="A19" s="6" t="s">
        <v>9</v>
      </c>
      <c r="B19" s="12">
        <f ca="1">B5</f>
        <v>45931</v>
      </c>
    </row>
    <row r="20" spans="1:3" x14ac:dyDescent="0.3">
      <c r="A20" s="16" t="s">
        <v>20</v>
      </c>
      <c r="B20" s="16"/>
    </row>
    <row r="21" spans="1:3" x14ac:dyDescent="0.3">
      <c r="A21" s="5" t="s">
        <v>21</v>
      </c>
      <c r="B21" s="2" t="str">
        <f>B3</f>
        <v>AME test pool</v>
      </c>
    </row>
    <row r="22" spans="1:3" x14ac:dyDescent="0.3">
      <c r="A22" s="6" t="s">
        <v>22</v>
      </c>
      <c r="B22" s="4" t="str">
        <f>B4</f>
        <v>1175 Douglas St #912, Victoria, BC V8W 2E1</v>
      </c>
    </row>
    <row r="23" spans="1:3" x14ac:dyDescent="0.3">
      <c r="A23" s="5" t="s">
        <v>23</v>
      </c>
      <c r="B23" s="3" t="s">
        <v>28</v>
      </c>
    </row>
    <row r="24" spans="1:3" x14ac:dyDescent="0.3">
      <c r="A24" s="6" t="s">
        <v>25</v>
      </c>
      <c r="B24" s="7" t="s">
        <v>31</v>
      </c>
    </row>
    <row r="25" spans="1:3" x14ac:dyDescent="0.3">
      <c r="A25" s="16" t="s">
        <v>43</v>
      </c>
      <c r="B25" s="16"/>
    </row>
    <row r="26" spans="1:3" x14ac:dyDescent="0.3">
      <c r="A26" s="5" t="s">
        <v>6</v>
      </c>
      <c r="B26" s="3" t="s">
        <v>16</v>
      </c>
      <c r="C26" s="10" t="s">
        <v>42</v>
      </c>
    </row>
    <row r="27" spans="1:3" x14ac:dyDescent="0.3">
      <c r="A27" s="6" t="s">
        <v>13</v>
      </c>
      <c r="B27" s="7" t="s">
        <v>17</v>
      </c>
      <c r="C27" s="10" t="s">
        <v>42</v>
      </c>
    </row>
    <row r="28" spans="1:3" x14ac:dyDescent="0.3">
      <c r="A28" s="5" t="s">
        <v>14</v>
      </c>
      <c r="B28" s="3" t="s">
        <v>18</v>
      </c>
      <c r="C28" s="10" t="s">
        <v>42</v>
      </c>
    </row>
    <row r="29" spans="1:3" x14ac:dyDescent="0.3">
      <c r="A29" s="6" t="s">
        <v>15</v>
      </c>
      <c r="B29" s="7" t="s">
        <v>19</v>
      </c>
      <c r="C29" s="10" t="s">
        <v>42</v>
      </c>
    </row>
    <row r="30" spans="1:3" x14ac:dyDescent="0.3">
      <c r="A30" s="16" t="s">
        <v>44</v>
      </c>
      <c r="B30" s="16"/>
    </row>
    <row r="31" spans="1:3" x14ac:dyDescent="0.3">
      <c r="A31" s="6" t="s">
        <v>6</v>
      </c>
      <c r="B31" s="4" t="str">
        <f>B12</f>
        <v>John Doe</v>
      </c>
    </row>
    <row r="32" spans="1:3" x14ac:dyDescent="0.3">
      <c r="A32" s="5" t="s">
        <v>47</v>
      </c>
      <c r="B32" s="3" t="s">
        <v>49</v>
      </c>
    </row>
    <row r="33" spans="1:3" x14ac:dyDescent="0.3">
      <c r="A33" s="6" t="s">
        <v>45</v>
      </c>
      <c r="B33" s="7" t="s">
        <v>46</v>
      </c>
    </row>
    <row r="34" spans="1:3" x14ac:dyDescent="0.3">
      <c r="A34" s="5" t="s">
        <v>13</v>
      </c>
      <c r="B34" s="2" t="str">
        <f>B13</f>
        <v>638 Smithe St Suite 200, Vancouver, BC V6B 1E3</v>
      </c>
    </row>
    <row r="35" spans="1:3" x14ac:dyDescent="0.3">
      <c r="A35" s="6" t="s">
        <v>14</v>
      </c>
      <c r="B35" s="4" t="str">
        <f>B14</f>
        <v>098-765-4321</v>
      </c>
    </row>
    <row r="36" spans="1:3" x14ac:dyDescent="0.3">
      <c r="A36" s="5" t="s">
        <v>15</v>
      </c>
      <c r="B36" s="2" t="str">
        <f>B15</f>
        <v>random@icould.com</v>
      </c>
    </row>
    <row r="37" spans="1:3" x14ac:dyDescent="0.3">
      <c r="A37" s="16" t="s">
        <v>50</v>
      </c>
      <c r="B37" s="16"/>
    </row>
    <row r="38" spans="1:3" x14ac:dyDescent="0.3">
      <c r="A38" s="5" t="s">
        <v>51</v>
      </c>
      <c r="B38" s="13">
        <v>300</v>
      </c>
    </row>
    <row r="39" spans="1:3" x14ac:dyDescent="0.3">
      <c r="A39" s="6" t="s">
        <v>52</v>
      </c>
      <c r="B39" s="14">
        <v>2.33</v>
      </c>
    </row>
    <row r="40" spans="1:3" x14ac:dyDescent="0.3">
      <c r="A40" s="5" t="s">
        <v>53</v>
      </c>
      <c r="B40" s="13">
        <v>1200</v>
      </c>
    </row>
    <row r="41" spans="1:3" x14ac:dyDescent="0.3">
      <c r="A41" s="6" t="s">
        <v>54</v>
      </c>
      <c r="B41" s="14">
        <v>30</v>
      </c>
    </row>
    <row r="42" spans="1:3" x14ac:dyDescent="0.3">
      <c r="A42" s="5" t="s">
        <v>55</v>
      </c>
      <c r="B42" s="13">
        <v>20</v>
      </c>
    </row>
    <row r="43" spans="1:3" x14ac:dyDescent="0.3">
      <c r="A43" s="6" t="s">
        <v>56</v>
      </c>
      <c r="B43" s="14">
        <v>1</v>
      </c>
      <c r="C43" s="10" t="s">
        <v>67</v>
      </c>
    </row>
    <row r="44" spans="1:3" x14ac:dyDescent="0.3">
      <c r="A44" s="5" t="s">
        <v>57</v>
      </c>
      <c r="B44" s="13">
        <v>3</v>
      </c>
    </row>
    <row r="45" spans="1:3" x14ac:dyDescent="0.3">
      <c r="A45" s="6" t="s">
        <v>58</v>
      </c>
      <c r="B45" s="14">
        <v>100</v>
      </c>
    </row>
    <row r="46" spans="1:3" x14ac:dyDescent="0.3">
      <c r="A46" s="5" t="s">
        <v>59</v>
      </c>
      <c r="B46" s="13">
        <v>100</v>
      </c>
    </row>
    <row r="47" spans="1:3" x14ac:dyDescent="0.3">
      <c r="A47" s="6" t="s">
        <v>60</v>
      </c>
      <c r="B47" s="15">
        <f>SUM(B45:B46)</f>
        <v>200</v>
      </c>
    </row>
    <row r="48" spans="1:3" x14ac:dyDescent="0.3">
      <c r="A48" s="5" t="s">
        <v>61</v>
      </c>
      <c r="B48" s="13" t="s">
        <v>82</v>
      </c>
    </row>
    <row r="49" spans="1:2" x14ac:dyDescent="0.3">
      <c r="A49" s="6" t="s">
        <v>62</v>
      </c>
      <c r="B49" s="14" t="s">
        <v>64</v>
      </c>
    </row>
    <row r="50" spans="1:2" x14ac:dyDescent="0.3">
      <c r="A50" s="5" t="s">
        <v>66</v>
      </c>
      <c r="B50" s="13" t="s">
        <v>71</v>
      </c>
    </row>
    <row r="51" spans="1:2" x14ac:dyDescent="0.3">
      <c r="A51" s="6" t="s">
        <v>72</v>
      </c>
      <c r="B51" s="14" t="s">
        <v>64</v>
      </c>
    </row>
    <row r="52" spans="1:2" x14ac:dyDescent="0.3">
      <c r="A52" s="5" t="s">
        <v>73</v>
      </c>
      <c r="B52" s="13">
        <v>2</v>
      </c>
    </row>
    <row r="53" spans="1:2" x14ac:dyDescent="0.3">
      <c r="A53" s="6" t="s">
        <v>74</v>
      </c>
      <c r="B53" s="14">
        <v>2</v>
      </c>
    </row>
    <row r="54" spans="1:2" x14ac:dyDescent="0.3">
      <c r="A54" s="5" t="s">
        <v>75</v>
      </c>
      <c r="B54" s="13">
        <v>1</v>
      </c>
    </row>
    <row r="55" spans="1:2" x14ac:dyDescent="0.3">
      <c r="A55" s="6" t="s">
        <v>76</v>
      </c>
      <c r="B55" s="14" t="s">
        <v>77</v>
      </c>
    </row>
  </sheetData>
  <mergeCells count="8">
    <mergeCell ref="A37:B37"/>
    <mergeCell ref="A25:B25"/>
    <mergeCell ref="A30:B30"/>
    <mergeCell ref="A1:B1"/>
    <mergeCell ref="A6:B6"/>
    <mergeCell ref="A11:B11"/>
    <mergeCell ref="A20:B20"/>
    <mergeCell ref="A16:B16"/>
  </mergeCells>
  <phoneticPr fontId="5" type="noConversion"/>
  <hyperlinks>
    <hyperlink ref="B15" r:id="rId1" xr:uid="{F23C4D8F-D3A5-41F8-8768-957B6ED66387}"/>
    <hyperlink ref="B29" r:id="rId2" xr:uid="{7C1EE75F-8A56-4E1F-8F6D-E3D927261E7F}"/>
    <hyperlink ref="B35" r:id="rId3" display="random@icould.com" xr:uid="{0D1B7BBF-15B3-4CFC-9039-2B5392E32994}"/>
  </hyperlinks>
  <pageMargins left="0.7" right="0.7" top="0.75" bottom="0.75" header="0.3" footer="0.3"/>
  <pageSetup orientation="portrait" horizontalDpi="300" verticalDpi="300" r:id="rId4"/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E16A27BC-15E6-475F-BB89-94A0C07741A8}">
          <x14:formula1>
            <xm:f>Backend!$B$2:$B$6</xm:f>
          </x14:formula1>
          <xm:sqref>B23</xm:sqref>
        </x14:dataValidation>
        <x14:dataValidation type="list" allowBlank="1" showInputMessage="1" showErrorMessage="1" xr:uid="{B3132453-0252-43A7-BEC0-13862065EF0E}">
          <x14:formula1>
            <xm:f>Backend!$C$2:$C$3</xm:f>
          </x14:formula1>
          <xm:sqref>B24</xm:sqref>
        </x14:dataValidation>
        <x14:dataValidation type="list" allowBlank="1" showInputMessage="1" showErrorMessage="1" xr:uid="{DBDA0B2E-73C7-461D-9A78-8C9C0FC3C8EE}">
          <x14:formula1>
            <xm:f>Backend!$A$2:$A$6</xm:f>
          </x14:formula1>
          <xm:sqref>B2</xm:sqref>
        </x14:dataValidation>
        <x14:dataValidation type="list" allowBlank="1" showInputMessage="1" showErrorMessage="1" xr:uid="{30E8FBE2-C2FC-4B6D-9F98-1AD125B8C425}">
          <x14:formula1>
            <xm:f>Backend!$E$2:$E$3</xm:f>
          </x14:formula1>
          <xm:sqref>B32</xm:sqref>
        </x14:dataValidation>
        <x14:dataValidation type="list" allowBlank="1" showInputMessage="1" showErrorMessage="1" xr:uid="{D7F0EB7B-BBFF-45D3-B222-8DBEA2A4E2AA}">
          <x14:formula1>
            <xm:f>Backend!$F$2:$F$3</xm:f>
          </x14:formula1>
          <xm:sqref>B49 B51</xm:sqref>
        </x14:dataValidation>
        <x14:dataValidation type="list" allowBlank="1" showInputMessage="1" showErrorMessage="1" xr:uid="{85EB1F5D-2C0D-4619-81F3-F49B63FA8937}">
          <x14:formula1>
            <xm:f>Backend!$G$2:$G$6</xm:f>
          </x14:formula1>
          <xm:sqref>B50</xm:sqref>
        </x14:dataValidation>
        <x14:dataValidation type="list" allowBlank="1" showInputMessage="1" showErrorMessage="1" xr:uid="{3BF7E381-8828-457B-A727-E2C5CC93B0AF}">
          <x14:formula1>
            <xm:f>Backend!$H$2:$H$6</xm:f>
          </x14:formula1>
          <xm:sqref>B55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180A74-45BA-42EE-9251-9C730233F3C6}">
  <sheetPr codeName="Sheet2"/>
  <dimension ref="A1:H6"/>
  <sheetViews>
    <sheetView workbookViewId="0">
      <selection activeCell="H3" sqref="H3"/>
    </sheetView>
  </sheetViews>
  <sheetFormatPr defaultRowHeight="14.4" x14ac:dyDescent="0.3"/>
  <cols>
    <col min="1" max="1" width="17.5546875" bestFit="1" customWidth="1"/>
    <col min="2" max="2" width="16.109375" bestFit="1" customWidth="1"/>
    <col min="3" max="3" width="15.33203125" bestFit="1" customWidth="1"/>
    <col min="4" max="4" width="15.88671875" bestFit="1" customWidth="1"/>
    <col min="5" max="5" width="23.44140625" bestFit="1" customWidth="1"/>
    <col min="7" max="7" width="21.109375" customWidth="1"/>
    <col min="8" max="8" width="18" bestFit="1" customWidth="1"/>
  </cols>
  <sheetData>
    <row r="1" spans="1:8" x14ac:dyDescent="0.3">
      <c r="A1" s="1" t="s">
        <v>4</v>
      </c>
      <c r="B1" s="1" t="s">
        <v>24</v>
      </c>
      <c r="C1" s="1" t="s">
        <v>25</v>
      </c>
      <c r="D1" s="1" t="s">
        <v>34</v>
      </c>
      <c r="E1" s="1" t="s">
        <v>47</v>
      </c>
      <c r="F1" s="1" t="s">
        <v>63</v>
      </c>
      <c r="G1" s="1" t="s">
        <v>66</v>
      </c>
      <c r="H1" s="1" t="s">
        <v>76</v>
      </c>
    </row>
    <row r="2" spans="1:8" x14ac:dyDescent="0.3">
      <c r="A2" t="s">
        <v>5</v>
      </c>
      <c r="B2" t="s">
        <v>26</v>
      </c>
      <c r="C2" t="s">
        <v>31</v>
      </c>
      <c r="D2" t="s">
        <v>33</v>
      </c>
      <c r="E2" t="s">
        <v>49</v>
      </c>
      <c r="F2" t="s">
        <v>64</v>
      </c>
      <c r="G2" t="s">
        <v>68</v>
      </c>
      <c r="H2" t="s">
        <v>77</v>
      </c>
    </row>
    <row r="3" spans="1:8" x14ac:dyDescent="0.3">
      <c r="A3" t="s">
        <v>0</v>
      </c>
      <c r="B3" t="s">
        <v>27</v>
      </c>
      <c r="C3" t="s">
        <v>32</v>
      </c>
      <c r="D3" t="s">
        <v>35</v>
      </c>
      <c r="E3" t="s">
        <v>48</v>
      </c>
      <c r="F3" t="s">
        <v>65</v>
      </c>
      <c r="G3" t="s">
        <v>83</v>
      </c>
      <c r="H3" t="s">
        <v>78</v>
      </c>
    </row>
    <row r="4" spans="1:8" x14ac:dyDescent="0.3">
      <c r="A4" t="s">
        <v>1</v>
      </c>
      <c r="B4" t="s">
        <v>28</v>
      </c>
      <c r="D4" t="s">
        <v>36</v>
      </c>
      <c r="G4" t="s">
        <v>69</v>
      </c>
      <c r="H4" t="s">
        <v>79</v>
      </c>
    </row>
    <row r="5" spans="1:8" x14ac:dyDescent="0.3">
      <c r="A5" t="s">
        <v>2</v>
      </c>
      <c r="B5" t="s">
        <v>29</v>
      </c>
      <c r="G5" t="s">
        <v>70</v>
      </c>
      <c r="H5" t="s">
        <v>80</v>
      </c>
    </row>
    <row r="6" spans="1:8" x14ac:dyDescent="0.3">
      <c r="A6" t="s">
        <v>3</v>
      </c>
      <c r="B6" t="s">
        <v>30</v>
      </c>
      <c r="G6" t="s">
        <v>71</v>
      </c>
      <c r="H6" t="s">
        <v>81</v>
      </c>
    </row>
  </sheetData>
  <pageMargins left="0.7" right="0.7" top="0.75" bottom="0.75" header="0.3" footer="0.3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Pool Data For Export</vt:lpstr>
      <vt:lpstr>Backend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Bennett Steers</dc:creator>
  <cp:lastModifiedBy>Bennett Steers</cp:lastModifiedBy>
  <dcterms:created xsi:type="dcterms:W3CDTF">2015-06-05T18:17:20Z</dcterms:created>
  <dcterms:modified xsi:type="dcterms:W3CDTF">2025-10-01T19:51:37Z</dcterms:modified>
</cp:coreProperties>
</file>