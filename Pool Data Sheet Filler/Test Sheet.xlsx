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C:\Users\benne\GitHub\Misc-Python-Stuff\Pool Data Sheet Filler\"/>
    </mc:Choice>
  </mc:AlternateContent>
  <xr:revisionPtr revIDLastSave="0" documentId="13_ncr:1_{21DAD4A1-FDED-4752-BA45-127BD1670C5F}" xr6:coauthVersionLast="47" xr6:coauthVersionMax="47" xr10:uidLastSave="{00000000-0000-0000-0000-000000000000}"/>
  <bookViews>
    <workbookView xWindow="11424" yWindow="0" windowWidth="11712" windowHeight="12336" xr2:uid="{00000000-000D-0000-FFFF-FFFF00000000}"/>
  </bookViews>
  <sheets>
    <sheet name="Pool Data For Export" sheetId="1" r:id="rId1"/>
    <sheet name="Backend" sheetId="3" r:id="rId2"/>
  </sheets>
  <definedNames>
    <definedName name="_xlnm._FilterDatabase" localSheetId="0" hidden="1">'Pool Data For Export'!$K$82:$L$82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8" i="1" l="1" a="1"/>
  <c r="F108" i="1" s="1"/>
  <c r="F106" i="1" a="1"/>
  <c r="F106" i="1" s="1"/>
  <c r="F104" i="1" a="1"/>
  <c r="F104" i="1" s="1"/>
  <c r="F102" i="1" a="1"/>
  <c r="F102" i="1" s="1"/>
  <c r="F100" i="1" a="1"/>
  <c r="F100" i="1" s="1"/>
  <c r="F99" i="1" a="1"/>
  <c r="F99" i="1" s="1"/>
  <c r="F97" i="1" a="1"/>
  <c r="F97" i="1" s="1"/>
  <c r="F94" i="1" a="1"/>
  <c r="F94" i="1" s="1"/>
  <c r="F92" i="1" a="1"/>
  <c r="F92" i="1" s="1"/>
  <c r="F90" i="1" a="1"/>
  <c r="F90" i="1" s="1"/>
  <c r="F88" i="1" a="1"/>
  <c r="F88" i="1" s="1"/>
  <c r="F86" i="1" a="1"/>
  <c r="F86" i="1" s="1"/>
  <c r="F84" i="1" a="1"/>
  <c r="F84" i="1" s="1"/>
  <c r="F82" i="1" a="1"/>
  <c r="F82" i="1" s="1"/>
  <c r="F79" i="1" a="1"/>
  <c r="F79" i="1" s="1"/>
  <c r="F73" i="1" a="1"/>
  <c r="F73" i="1" s="1"/>
  <c r="F72" i="1" a="1"/>
  <c r="F72" i="1" s="1"/>
  <c r="F71" i="1" a="1"/>
  <c r="F71" i="1" s="1"/>
  <c r="F70" i="1" a="1"/>
  <c r="F70" i="1" s="1"/>
  <c r="F68" i="1" a="1"/>
  <c r="F68" i="1" s="1"/>
  <c r="F63" i="1" a="1"/>
  <c r="F63" i="1" s="1"/>
  <c r="F61" i="1" a="1"/>
  <c r="F61" i="1" s="1"/>
  <c r="F60" i="1" a="1"/>
  <c r="F60" i="1" s="1"/>
  <c r="F59" i="1" a="1"/>
  <c r="F59" i="1" s="1"/>
  <c r="F58" i="1" a="1"/>
  <c r="F58" i="1" s="1"/>
  <c r="F57" i="1" a="1"/>
  <c r="F57" i="1" s="1"/>
  <c r="F56" i="1" a="1"/>
  <c r="F56" i="1" s="1"/>
  <c r="F55" i="1" a="1"/>
  <c r="F55" i="1" s="1"/>
  <c r="F54" i="1" a="1"/>
  <c r="F54" i="1" s="1"/>
  <c r="F53" i="1" a="1"/>
  <c r="F53" i="1" s="1"/>
  <c r="F52" i="1" a="1"/>
  <c r="F52" i="1" s="1"/>
  <c r="F51" i="1" a="1"/>
  <c r="F51" i="1" s="1"/>
  <c r="F50" i="1" a="1"/>
  <c r="F50" i="1" s="1"/>
  <c r="F48" i="1" a="1"/>
  <c r="F48" i="1" s="1"/>
  <c r="F47" i="1" a="1"/>
  <c r="F47" i="1" s="1"/>
  <c r="F46" i="1" a="1"/>
  <c r="F46" i="1" s="1"/>
  <c r="F45" i="1" a="1"/>
  <c r="F45" i="1" s="1"/>
  <c r="F43" i="1" a="1"/>
  <c r="F43" i="1" s="1"/>
  <c r="F42" i="1" a="1"/>
  <c r="F42" i="1" s="1"/>
  <c r="F40" i="1" a="1"/>
  <c r="F40" i="1" s="1"/>
  <c r="F39" i="1" a="1"/>
  <c r="F39" i="1" s="1"/>
  <c r="F38" i="1" a="1"/>
  <c r="F38" i="1" s="1"/>
  <c r="F37" i="1" a="1"/>
  <c r="F37" i="1" s="1"/>
  <c r="F34" i="1" a="1"/>
  <c r="F34" i="1" s="1"/>
  <c r="F29" i="1" a="1"/>
  <c r="F29" i="1" s="1"/>
  <c r="F28" i="1" a="1"/>
  <c r="F28" i="1" s="1"/>
  <c r="F27" i="1" a="1"/>
  <c r="F27" i="1" s="1"/>
  <c r="F14" i="1" a="1"/>
  <c r="F14" i="1" s="1"/>
  <c r="F19" i="1" a="1"/>
  <c r="F19" i="1" s="1"/>
  <c r="F25" i="1" a="1"/>
  <c r="F25" i="1" s="1"/>
  <c r="F23" i="1" a="1"/>
  <c r="F23" i="1" s="1"/>
  <c r="F21" i="1" a="1"/>
  <c r="F21" i="1" s="1"/>
  <c r="F18" i="1" a="1"/>
  <c r="F18" i="1" s="1"/>
  <c r="F17" i="1" a="1"/>
  <c r="F17" i="1" s="1"/>
  <c r="F16" i="1" a="1"/>
  <c r="F16" i="1" s="1"/>
  <c r="F13" i="1" a="1"/>
  <c r="F13" i="1" s="1"/>
  <c r="F12" i="1" a="1"/>
  <c r="F12" i="1" s="1"/>
  <c r="F11" i="1" a="1"/>
  <c r="F11" i="1" s="1"/>
  <c r="F9" i="1" a="1"/>
  <c r="F9" i="1" s="1"/>
  <c r="F8" i="1" a="1"/>
  <c r="F8" i="1" s="1"/>
  <c r="F7" i="1" a="1"/>
  <c r="F7" i="1" s="1"/>
  <c r="F2" i="1" a="1"/>
  <c r="F2" i="1" s="1"/>
  <c r="L14" i="1"/>
  <c r="A71" i="1"/>
  <c r="A72" i="1"/>
  <c r="A29" i="1"/>
  <c r="A28" i="1"/>
  <c r="A27" i="1"/>
  <c r="A25" i="1"/>
  <c r="A23" i="1"/>
  <c r="A21" i="1"/>
  <c r="A19" i="1"/>
  <c r="A18" i="1"/>
  <c r="A17" i="1"/>
  <c r="A16" i="1"/>
  <c r="A14" i="1"/>
  <c r="A13" i="1"/>
  <c r="A12" i="1"/>
  <c r="A11" i="1"/>
  <c r="A9" i="1"/>
  <c r="A8" i="1"/>
  <c r="A7" i="1"/>
  <c r="A2" i="1"/>
  <c r="A34" i="1"/>
  <c r="A40" i="1"/>
  <c r="A39" i="1"/>
  <c r="A38" i="1"/>
  <c r="A37" i="1"/>
  <c r="A48" i="1"/>
  <c r="A47" i="1"/>
  <c r="A46" i="1"/>
  <c r="A45" i="1"/>
  <c r="A43" i="1"/>
  <c r="A42" i="1"/>
  <c r="A73" i="1"/>
  <c r="A70" i="1"/>
  <c r="A68" i="1"/>
  <c r="A63" i="1"/>
  <c r="A61" i="1"/>
  <c r="A60" i="1"/>
  <c r="A59" i="1"/>
  <c r="A58" i="1"/>
  <c r="A57" i="1"/>
  <c r="A56" i="1"/>
  <c r="A55" i="1"/>
  <c r="A54" i="1"/>
  <c r="A53" i="1"/>
  <c r="A52" i="1"/>
  <c r="A51" i="1"/>
  <c r="A50" i="1"/>
  <c r="L59" i="1"/>
  <c r="L48" i="1"/>
  <c r="L47" i="1"/>
  <c r="L46" i="1"/>
  <c r="L42" i="1"/>
  <c r="L23" i="1"/>
  <c r="L28" i="1"/>
  <c r="L27" i="1"/>
  <c r="L9" i="1"/>
  <c r="L2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<sst xmlns="http://schemas.openxmlformats.org/spreadsheetml/2006/main" count="328" uniqueCount="128">
  <si>
    <t>Fraser</t>
  </si>
  <si>
    <t>Interior</t>
  </si>
  <si>
    <t>Island</t>
  </si>
  <si>
    <t>Northern</t>
  </si>
  <si>
    <t>Coastal</t>
  </si>
  <si>
    <t>Name</t>
  </si>
  <si>
    <t>Application To:</t>
  </si>
  <si>
    <t>Name of Pool</t>
  </si>
  <si>
    <t>Date</t>
  </si>
  <si>
    <t>1175 Douglas St #912, Victoria, BC V8W 2E1</t>
  </si>
  <si>
    <t>Street Adress</t>
  </si>
  <si>
    <t>AME test pool</t>
  </si>
  <si>
    <t>Address</t>
  </si>
  <si>
    <t>Phone Number</t>
  </si>
  <si>
    <t>Email</t>
  </si>
  <si>
    <t>John Doe</t>
  </si>
  <si>
    <t>638 Smithe St Suite 200, Vancouver, BC V6B 1E3</t>
  </si>
  <si>
    <t>098-765-4321</t>
  </si>
  <si>
    <t>random@icould.com</t>
  </si>
  <si>
    <t>General Information</t>
  </si>
  <si>
    <t>Name of Pool:</t>
  </si>
  <si>
    <t>Civic Address:</t>
  </si>
  <si>
    <t>Pool Type:</t>
  </si>
  <si>
    <t>Indoor/Outdoor</t>
  </si>
  <si>
    <t>Public Pool</t>
  </si>
  <si>
    <t>Commercial Pool</t>
  </si>
  <si>
    <t>Hot Tub</t>
  </si>
  <si>
    <t>Spray Pool</t>
  </si>
  <si>
    <t>Wading Pool</t>
  </si>
  <si>
    <t>Indoor</t>
  </si>
  <si>
    <t>Outdoor</t>
  </si>
  <si>
    <t>Health Authority</t>
  </si>
  <si>
    <t>Owner's Confirmation of Commitment</t>
  </si>
  <si>
    <t>Owner Name</t>
  </si>
  <si>
    <t>Notes</t>
  </si>
  <si>
    <t>Contact Information: Owner or Agent</t>
  </si>
  <si>
    <t>Contact Information: Person Applying for Construction Permit</t>
  </si>
  <si>
    <t>Normally Filled out by owner, can be left blank</t>
  </si>
  <si>
    <t>Owner Information</t>
  </si>
  <si>
    <t>Designer Information (Append additional information for multiple designers)</t>
  </si>
  <si>
    <t>Company (Legal Corporate)</t>
  </si>
  <si>
    <t>The AME Consulting Group</t>
  </si>
  <si>
    <t>Professional Designation</t>
  </si>
  <si>
    <t>PEng</t>
  </si>
  <si>
    <t>General Pool Parameters</t>
  </si>
  <si>
    <t>Pool Volume: (m^3)</t>
  </si>
  <si>
    <t>Turnover: (hours)</t>
  </si>
  <si>
    <t>Design Re-circulation Flow Rate: (L/sec)</t>
  </si>
  <si>
    <t>Pool Area (m^2)</t>
  </si>
  <si>
    <t>Deck Area (m^2)</t>
  </si>
  <si>
    <t>Minimum Water Depth</t>
  </si>
  <si>
    <t>Maximum Water Depth</t>
  </si>
  <si>
    <t>Shallow Bathing Load</t>
  </si>
  <si>
    <t>Deep Bathing Load</t>
  </si>
  <si>
    <t>Total Bathing Load</t>
  </si>
  <si>
    <t>Pool Basin Color</t>
  </si>
  <si>
    <t>Complies with Pool Regulations</t>
  </si>
  <si>
    <t>Yes</t>
  </si>
  <si>
    <t>No</t>
  </si>
  <si>
    <t>Filters</t>
  </si>
  <si>
    <t>Modify Cell to exclude ramps</t>
  </si>
  <si>
    <t>Sand</t>
  </si>
  <si>
    <t>Pressure</t>
  </si>
  <si>
    <t>Vacuum</t>
  </si>
  <si>
    <t>Gravity</t>
  </si>
  <si>
    <t>NSF Approved</t>
  </si>
  <si>
    <t>Pressure Gauge Quantity</t>
  </si>
  <si>
    <t>Vacuum Gauge Quantity</t>
  </si>
  <si>
    <t>Temperature Gauge Quantity</t>
  </si>
  <si>
    <t>Disinfection</t>
  </si>
  <si>
    <t>Hypochlorite</t>
  </si>
  <si>
    <t>Chlorine Gas</t>
  </si>
  <si>
    <t>Stabilized Chlorine</t>
  </si>
  <si>
    <t>Bromine</t>
  </si>
  <si>
    <t>Other</t>
  </si>
  <si>
    <t>Blue</t>
  </si>
  <si>
    <t>D.E.</t>
  </si>
  <si>
    <t>type</t>
  </si>
  <si>
    <t>string</t>
  </si>
  <si>
    <t>multiChoiceCheckbox</t>
  </si>
  <si>
    <t>multi choice options</t>
  </si>
  <si>
    <t>Arch</t>
  </si>
  <si>
    <t>Health Hazard Related Design Parameter</t>
  </si>
  <si>
    <t>The plans include a fence or other barrier around the pool and its walkways with controlled access to prevent access by animals and persons who are not pool patrons. This provision does not apply to spray pools or wading pools that are planned to be drained before dark and left empty overnight. PR s.(7)</t>
  </si>
  <si>
    <t>Health Hazard Related Design Parameter: Box 1</t>
  </si>
  <si>
    <t>N/A</t>
  </si>
  <si>
    <t>Health Hazard Related Design Parameter: Box 2</t>
  </si>
  <si>
    <t>The pool design provides for the pool water to be maintained at a temperature of no more than 37°C. PR s.10(2)(b)</t>
  </si>
  <si>
    <t>Health Hazard Related Design Parameter: Box 3</t>
  </si>
  <si>
    <t>Health Hazard Related Design Parameter: Box 4</t>
  </si>
  <si>
    <t>Health Hazard Related Design Parameter: Box 5</t>
  </si>
  <si>
    <t>Health Hazard Related Design Parameter: Box 6</t>
  </si>
  <si>
    <t>Health Hazard Related Design Parameter: Box 7</t>
  </si>
  <si>
    <t>Health Hazard Related Design Parameter: Box 8</t>
  </si>
  <si>
    <t>Disinfection equipment is designed to be capable of maintaining disinfection levels in accordance with the Pool Regulation PR s.10(2)(f) &amp; s.10(2)(g) &amp; Schedule 3, s.1(2)</t>
  </si>
  <si>
    <t>The pool circulation system is designed so that pool water will not pass through any drain grate at a speed greater than 46 cm per second when the pool is operating at the design flow rate. PR s.10(2)(k) or waiver obtained under s.10(3)</t>
  </si>
  <si>
    <t>The pool design allows for water to be circulated through the skimmers or gutters at a rate of flow at least equal to 50% of the design flow rate. PR s.10(2)(j)</t>
  </si>
  <si>
    <t>The pool circulation system is designed so the water circulation rate (pool turnover) will substantially comply with the GSPD. GSPD – General Circulation Requirements</t>
  </si>
  <si>
    <t>The pool design substantially complies with the Pool Regulation and the GSPD for the prevention of entrapment or suction hazards. PR s.10(2)(k) or waiver obtained under s.10(3); GSPD – Suction Entrapment Hazards</t>
  </si>
  <si>
    <t>Health Hazard Related Design Parameter: Box 10</t>
  </si>
  <si>
    <t>Health Hazard Related Design Parameter: Box 11</t>
  </si>
  <si>
    <t>Health Hazard Related Design Parameter: Box 12</t>
  </si>
  <si>
    <t>The pool design allows for sufficient lighting so that all areas are visible to pool patrons, lifeguards, and operators. PR s.11(2)(a) ; GSPD - Lighting</t>
  </si>
  <si>
    <t>All pool aprons, walkways and floors have a surface that is slip-resistant when wet, and slopes away from the pool such that, when the aprons, walkways and floors are wet, water does not accumulate or flow back into the pool PR s.11(2)(c)</t>
  </si>
  <si>
    <t>Health Hazard Related Design Parameter: Box 9A</t>
  </si>
  <si>
    <t>Health Hazard Related Design Parameter: Box 9B</t>
  </si>
  <si>
    <t>The friction coefficient of tiled surfaces specified for installation in and around the pool is ________ (static/dynamic), and will meet best practice guidelines referenced in the GSPD with respect to being non-slip when wet. GSPD – Surfaces and other Deck Considerations</t>
  </si>
  <si>
    <t>The design requires that the nose of any step or ledge in the pool is marked in a contrasting colour to the remainder of the step or ledge PR s.11(2)d</t>
  </si>
  <si>
    <t>The design provides for secure handrails at steps, ladders and diving boards. PR s.11(2)(e)</t>
  </si>
  <si>
    <t>The design includes pool depth markings in accordance with the requirement of the Pool Regulation PR s.11(2)(f)</t>
  </si>
  <si>
    <t>Health Hazard Related Design Parameter: Box 13</t>
  </si>
  <si>
    <t>Health Hazard Related Design Parameter: Box 14</t>
  </si>
  <si>
    <t>Health Hazard Related Design Parameter: Box 15</t>
  </si>
  <si>
    <t>Health Hazard Related Design Parameter: Box 16</t>
  </si>
  <si>
    <t>The design includes controls that will allow for regulating hot water temperature in pool facilities to no more than 49o  Y  N C. PR s.11(2)(g)</t>
  </si>
  <si>
    <t>The pool design provides for, where applicable, hot tub water to be maintained at a temperature of no more than 40°C. PR s.16(b)</t>
  </si>
  <si>
    <t>Vancouver Coastal Health Supplemental Data Sheet</t>
  </si>
  <si>
    <t>X insertion coordinate</t>
  </si>
  <si>
    <t>Y insertion coordinate</t>
  </si>
  <si>
    <t>Cell Reference</t>
  </si>
  <si>
    <t>name</t>
  </si>
  <si>
    <t>Document Page</t>
  </si>
  <si>
    <t>coordinate units</t>
  </si>
  <si>
    <t>points</t>
  </si>
  <si>
    <t>Override name</t>
  </si>
  <si>
    <t>Override value</t>
  </si>
  <si>
    <t>text x offset</t>
  </si>
  <si>
    <t>text y offset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</si>
</sst>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theme="0"/>
      <name val="Calibri"/>
      <family val="2"/>
      <scheme val="minor"/>
    </font>
    <font>
      <sz val="11"/>
      <color theme="1"/>
      <name val="Calibri"/>
      <family val="2"/>
      <scheme val="minor"/>
    </font>
    <font>
      <b/>
      <sz val="11"/>
      <color theme="0"/>
      <name val="Calibri"/>
      <family val="2"/>
      <scheme val="minor"/>
    </font>
    <font>
      <sz val="8"/>
      <name val="Calibri"/>
      <family val="2"/>
      <scheme val="minor"/>
    </font>
  </fonts>
  <fills count="9">
    <fill>
      <patternFill patternType="none"/>
    </fill>
    <fill>
      <patternFill patternType="gray125"/>
    </fill>
    <fill>
      <patternFill patternType="solid">
        <fgColor theme="9"/>
      </patternFill>
    </fill>
    <fill>
      <patternFill patternType="solid">
        <fgColor theme="8" tint="0.79998168889431442"/>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8" tint="0.59999389629810485"/>
        <bgColor indexed="65"/>
      </patternFill>
    </fill>
    <fill>
      <patternFill patternType="solid">
        <fgColor rgb="FFFFFFCC"/>
      </patternFill>
    </fill>
    <fill>
      <patternFill patternType="solid">
        <fgColor theme="9" tint="0.39997558519241921"/>
        <bgColor indexed="65"/>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s>
  <cellStyleXfs count="8">
    <xf numFmtId="0" fontId="0" fillId="0" borderId="0"/>
    <xf numFmtId="0" fontId="2" fillId="2"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7" borderId="2" applyNumberFormat="0" applyFont="0" applyAlignment="0" applyProtection="0"/>
    <xf numFmtId="0" fontId="3" fillId="8" borderId="0" applyNumberFormat="0" applyBorder="0" applyAlignment="0" applyProtection="0"/>
  </cellStyleXfs>
  <cellXfs count="20">
    <xf numFmtId="0" fontId="0" fillId="0" borderId="0" xfId="0"/>
    <xf numFmtId="0" fontId="1" fillId="0" borderId="0" xfId="0" applyFont="1"/>
    <xf numFmtId="0" fontId="3" fillId="4" borderId="0" xfId="3"/>
    <xf numFmtId="0" fontId="3" fillId="3" borderId="0" xfId="2"/>
    <xf numFmtId="0" fontId="3" fillId="5" borderId="0" xfId="4"/>
    <xf numFmtId="0" fontId="1" fillId="4" borderId="0" xfId="3" applyFont="1"/>
    <xf numFmtId="0" fontId="1" fillId="5" borderId="0" xfId="4" applyFont="1"/>
    <xf numFmtId="0" fontId="3" fillId="6" borderId="0" xfId="5"/>
    <xf numFmtId="14" fontId="3" fillId="6" borderId="0" xfId="5" applyNumberFormat="1" applyAlignment="1">
      <alignment horizontal="left"/>
    </xf>
    <xf numFmtId="0" fontId="3" fillId="8" borderId="0" xfId="7"/>
    <xf numFmtId="0" fontId="0" fillId="7" borderId="2" xfId="6" applyFont="1"/>
    <xf numFmtId="0" fontId="3" fillId="4" borderId="1" xfId="3" applyBorder="1"/>
    <xf numFmtId="14" fontId="3" fillId="5" borderId="1" xfId="4" applyNumberFormat="1" applyBorder="1" applyAlignment="1">
      <alignment horizontal="left"/>
    </xf>
    <xf numFmtId="0" fontId="3" fillId="3" borderId="0" xfId="2" applyAlignment="1">
      <alignment horizontal="left"/>
    </xf>
    <xf numFmtId="0" fontId="3" fillId="6" borderId="0" xfId="5" applyAlignment="1">
      <alignment horizontal="left"/>
    </xf>
    <xf numFmtId="0" fontId="3" fillId="5" borderId="0" xfId="4" applyAlignment="1">
      <alignment horizontal="left"/>
    </xf>
    <xf numFmtId="0" fontId="1" fillId="4" borderId="0" xfId="3" applyFont="1" applyAlignment="1">
      <alignment wrapText="1"/>
    </xf>
    <xf numFmtId="0" fontId="1" fillId="5" borderId="0" xfId="4" applyFont="1" applyAlignment="1">
      <alignment wrapText="1"/>
    </xf>
    <xf numFmtId="0" fontId="4" fillId="2" borderId="0" xfId="1" applyFont="1" applyAlignment="1">
      <alignment horizontal="center"/>
    </xf>
    <xf numFmtId="0" fontId="4" fillId="2" borderId="0" xfId="1" applyFont="1" applyAlignment="1">
      <alignment horizontal="center" vertical="center"/>
    </xf>
  </cellXfs>
  <cellStyles count="8">
    <cellStyle name="20% - Accent5" xfId="2" builtinId="46"/>
    <cellStyle name="20% - Accent6" xfId="3" builtinId="50"/>
    <cellStyle name="40% - Accent5" xfId="5" builtinId="47"/>
    <cellStyle name="40% - Accent6" xfId="4" builtinId="51"/>
    <cellStyle name="60% - Accent6" xfId="7" builtinId="52"/>
    <cellStyle name="Accent6" xfId="1" builtinId="49"/>
    <cellStyle name="Normal" xfId="0" builtinId="0"/>
    <cellStyle name="Note" xfId="6" builtinId="10"/>
  </cellStyles>
  <dxfs count="8">
    <dxf>
      <fill>
        <patternFill>
          <bgColor theme="0" tint="-0.14996795556505021"/>
        </patternFill>
      </fill>
    </dxf>
    <dxf>
      <fill>
        <patternFill>
          <bgColor theme="0" tint="-4.9989318521683403E-2"/>
        </patternFill>
      </fill>
    </dxf>
    <dxf>
      <fill>
        <patternFill>
          <bgColor theme="0" tint="-0.14996795556505021"/>
        </patternFill>
      </fill>
    </dxf>
    <dxf>
      <fill>
        <patternFill>
          <bgColor theme="0" tint="-4.9989318521683403E-2"/>
        </patternFill>
      </fill>
    </dxf>
    <dxf>
      <fill>
        <patternFill>
          <bgColor theme="0" tint="-0.14996795556505021"/>
        </patternFill>
      </fill>
    </dxf>
    <dxf>
      <fill>
        <patternFill>
          <bgColor theme="0" tint="-4.9989318521683403E-2"/>
        </patternFill>
      </fill>
    </dxf>
    <dxf>
      <fill>
        <patternFill>
          <bgColor theme="0" tint="-0.14996795556505021"/>
        </patternFill>
      </fill>
    </dxf>
    <dxf>
      <fill>
        <patternFill>
          <bgColor theme="7"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random@icould.com" TargetMode="External"/><Relationship Id="rId2" Type="http://schemas.openxmlformats.org/officeDocument/2006/relationships/hyperlink" Target="mailto:random@icould.com" TargetMode="External"/><Relationship Id="rId1" Type="http://schemas.openxmlformats.org/officeDocument/2006/relationships/hyperlink" Target="mailto:random@icould.com"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120"/>
  <sheetViews>
    <sheetView tabSelected="1" zoomScale="64" zoomScaleNormal="85" workbookViewId="0">
      <selection activeCell="D10" sqref="D10"/>
    </sheetView>
  </sheetViews>
  <sheetFormatPr defaultRowHeight="14.4" x14ac:dyDescent="0.3"/>
  <cols>
    <col min="1" max="1" width="91.109375" bestFit="1" customWidth="1"/>
    <col min="2" max="2" width="22.44140625" customWidth="1"/>
    <col min="3" max="3" width="21" bestFit="1" customWidth="1"/>
    <col min="4" max="5" width="22.6640625" bestFit="1" customWidth="1"/>
    <col min="6" max="6" width="15" bestFit="1" customWidth="1"/>
    <col min="7" max="7" width="15.88671875" bestFit="1" customWidth="1"/>
    <col min="8" max="8" width="17" bestFit="1" customWidth="1"/>
    <col min="9" max="9" width="15.21875" bestFit="1" customWidth="1"/>
    <col min="10" max="10" width="15" bestFit="1" customWidth="1"/>
    <col min="11" max="11" width="54.6640625" customWidth="1"/>
    <col min="12" max="12" width="63.5546875" customWidth="1"/>
    <col min="13" max="13" width="63.44140625" bestFit="1" customWidth="1"/>
    <col min="14" max="14" width="9.88671875" customWidth="1"/>
    <col min="15" max="17" width="9.6640625" bestFit="1" customWidth="1"/>
  </cols>
  <sheetData>
    <row r="1" spans="1:13" x14ac:dyDescent="0.3">
      <c r="A1" t="s">
        <v>120</v>
      </c>
      <c r="B1" t="s">
        <v>77</v>
      </c>
      <c r="C1" t="s">
        <v>80</v>
      </c>
      <c r="D1" t="s">
        <v>117</v>
      </c>
      <c r="E1" t="s">
        <v>118</v>
      </c>
      <c r="F1" t="s">
        <v>119</v>
      </c>
      <c r="G1" t="s">
        <v>121</v>
      </c>
      <c r="H1" t="s">
        <v>122</v>
      </c>
      <c r="I1" t="s">
        <v>124</v>
      </c>
      <c r="J1" t="s">
        <v>125</v>
      </c>
      <c r="K1" s="18" t="s">
        <v>6</v>
      </c>
      <c r="L1" s="18"/>
      <c r="M1" s="9" t="s">
        <v>34</v>
      </c>
    </row>
    <row r="2" spans="1:13" x14ac:dyDescent="0.3">
      <c r="A2" t="str">
        <f>_xlfn.CONCAT($K$1," ",K2)</f>
        <v>Application To: Health Authority</v>
      </c>
      <c r="B2" t="s">
        <v>79</v>
      </c>
      <c r="C2" t="s">
        <v>4</v>
      </c>
      <c r="D2">
        <v>257</v>
      </c>
      <c r="E2">
        <v>158</v>
      </c>
      <c r="F2" t="str" cm="1">
        <f t="array" aca="1" ref="F2" ca="1">_xlfn.CONCAT(_xlfn.TEXTSPLIT(CELL("address",L2),"$"))</f>
        <v>L2</v>
      </c>
      <c r="G2">
        <v>2</v>
      </c>
      <c r="H2" t="s">
        <v>123</v>
      </c>
      <c r="K2" s="5" t="s">
        <v>31</v>
      </c>
      <c r="L2" s="3" t="s">
        <v>0</v>
      </c>
    </row>
    <row r="3" spans="1:13" x14ac:dyDescent="0.3">
      <c r="C3" t="s">
        <v>0</v>
      </c>
      <c r="D3">
        <v>41</v>
      </c>
      <c r="E3">
        <v>158</v>
      </c>
      <c r="K3" s="5"/>
      <c r="L3" s="3"/>
    </row>
    <row r="4" spans="1:13" x14ac:dyDescent="0.3">
      <c r="C4" t="s">
        <v>1</v>
      </c>
      <c r="D4">
        <v>162</v>
      </c>
      <c r="E4">
        <v>158</v>
      </c>
      <c r="K4" s="5"/>
      <c r="L4" s="3"/>
    </row>
    <row r="5" spans="1:13" x14ac:dyDescent="0.3">
      <c r="C5" t="s">
        <v>2</v>
      </c>
      <c r="D5">
        <v>369</v>
      </c>
      <c r="E5">
        <v>158</v>
      </c>
      <c r="K5" s="5"/>
      <c r="L5" s="3"/>
    </row>
    <row r="6" spans="1:13" x14ac:dyDescent="0.3">
      <c r="C6" t="s">
        <v>3</v>
      </c>
      <c r="D6">
        <v>482</v>
      </c>
      <c r="E6">
        <v>158</v>
      </c>
      <c r="K6" s="5"/>
      <c r="L6" s="3"/>
    </row>
    <row r="7" spans="1:13" x14ac:dyDescent="0.3">
      <c r="A7" t="str">
        <f t="shared" ref="A7:A9" si="0">_xlfn.CONCAT($K$1," ",K7)</f>
        <v>Application To: Name of Pool</v>
      </c>
      <c r="B7" t="s">
        <v>78</v>
      </c>
      <c r="D7">
        <v>31</v>
      </c>
      <c r="E7">
        <v>216</v>
      </c>
      <c r="F7" t="str" cm="1">
        <f t="array" aca="1" ref="F7" ca="1">_xlfn.CONCAT(_xlfn.TEXTSPLIT(CELL("address",L7),"$"))</f>
        <v>L7</v>
      </c>
      <c r="G7">
        <v>2</v>
      </c>
      <c r="H7" t="s">
        <v>123</v>
      </c>
      <c r="K7" s="6" t="s">
        <v>7</v>
      </c>
      <c r="L7" s="7" t="s">
        <v>11</v>
      </c>
    </row>
    <row r="8" spans="1:13" x14ac:dyDescent="0.3">
      <c r="A8" t="str">
        <f t="shared" si="0"/>
        <v>Application To: Street Adress</v>
      </c>
      <c r="B8" t="s">
        <v>78</v>
      </c>
      <c r="D8">
        <v>31</v>
      </c>
      <c r="E8">
        <v>245</v>
      </c>
      <c r="F8" t="str" cm="1">
        <f t="array" aca="1" ref="F8" ca="1">_xlfn.CONCAT(_xlfn.TEXTSPLIT(CELL("address",L8),"$"))</f>
        <v>L8</v>
      </c>
      <c r="G8">
        <v>2</v>
      </c>
      <c r="H8" t="s">
        <v>123</v>
      </c>
      <c r="K8" s="5" t="s">
        <v>10</v>
      </c>
      <c r="L8" s="3" t="s">
        <v>9</v>
      </c>
    </row>
    <row r="9" spans="1:13" x14ac:dyDescent="0.3">
      <c r="A9" t="str">
        <f t="shared" si="0"/>
        <v>Application To: Date</v>
      </c>
      <c r="B9" t="s">
        <v>78</v>
      </c>
      <c r="D9">
        <v>405</v>
      </c>
      <c r="E9">
        <v>216</v>
      </c>
      <c r="F9" t="str" cm="1">
        <f t="array" aca="1" ref="F9" ca="1">_xlfn.CONCAT(_xlfn.TEXTSPLIT(CELL("address",L9),"$"))</f>
        <v>L9</v>
      </c>
      <c r="G9">
        <v>2</v>
      </c>
      <c r="H9" t="s">
        <v>123</v>
      </c>
      <c r="K9" s="6" t="s">
        <v>8</v>
      </c>
      <c r="L9" s="8">
        <f ca="1">TODAY()</f>
        <v>45957</v>
      </c>
    </row>
    <row r="10" spans="1:13" x14ac:dyDescent="0.3">
      <c r="K10" s="19" t="s">
        <v>35</v>
      </c>
      <c r="L10" s="19"/>
    </row>
    <row r="11" spans="1:13" x14ac:dyDescent="0.3">
      <c r="A11" t="str">
        <f>_xlfn.CONCAT($K$10," ",K11)</f>
        <v>Contact Information: Owner or Agent Name</v>
      </c>
      <c r="B11" t="s">
        <v>78</v>
      </c>
      <c r="D11">
        <v>31</v>
      </c>
      <c r="E11">
        <v>295</v>
      </c>
      <c r="F11" t="str" cm="1">
        <f t="array" aca="1" ref="F11" ca="1">_xlfn.CONCAT(_xlfn.TEXTSPLIT(CELL("address",L11),"$"))</f>
        <v>L11</v>
      </c>
      <c r="G11">
        <v>2</v>
      </c>
      <c r="H11" t="s">
        <v>123</v>
      </c>
      <c r="K11" s="5" t="s">
        <v>5</v>
      </c>
      <c r="L11" s="3"/>
      <c r="M11" s="10" t="s">
        <v>37</v>
      </c>
    </row>
    <row r="12" spans="1:13" x14ac:dyDescent="0.3">
      <c r="A12" t="str">
        <f t="shared" ref="A12:A14" si="1">_xlfn.CONCAT($K$10," ",K12)</f>
        <v>Contact Information: Owner or Agent Address</v>
      </c>
      <c r="B12" t="s">
        <v>78</v>
      </c>
      <c r="D12">
        <v>31</v>
      </c>
      <c r="E12">
        <v>322</v>
      </c>
      <c r="F12" t="str" cm="1">
        <f t="array" aca="1" ref="F12" ca="1">_xlfn.CONCAT(_xlfn.TEXTSPLIT(CELL("address",L12),"$"))</f>
        <v>L12</v>
      </c>
      <c r="G12">
        <v>2</v>
      </c>
      <c r="H12" t="s">
        <v>123</v>
      </c>
      <c r="K12" s="6" t="s">
        <v>12</v>
      </c>
      <c r="L12" s="7"/>
      <c r="M12" s="10" t="s">
        <v>37</v>
      </c>
    </row>
    <row r="13" spans="1:13" x14ac:dyDescent="0.3">
      <c r="A13" t="str">
        <f t="shared" si="1"/>
        <v>Contact Information: Owner or Agent Phone Number</v>
      </c>
      <c r="B13" t="s">
        <v>78</v>
      </c>
      <c r="D13">
        <v>31</v>
      </c>
      <c r="E13">
        <v>351</v>
      </c>
      <c r="F13" t="str" cm="1">
        <f t="array" aca="1" ref="F13" ca="1">_xlfn.CONCAT(_xlfn.TEXTSPLIT(CELL("address",L13),"$"))</f>
        <v>L13</v>
      </c>
      <c r="G13">
        <v>2</v>
      </c>
      <c r="H13" t="s">
        <v>123</v>
      </c>
      <c r="K13" s="5" t="s">
        <v>13</v>
      </c>
      <c r="L13" s="3"/>
      <c r="M13" s="10" t="s">
        <v>37</v>
      </c>
    </row>
    <row r="14" spans="1:13" x14ac:dyDescent="0.3">
      <c r="A14" t="str">
        <f t="shared" si="1"/>
        <v>Contact Information: Owner or Agent Email</v>
      </c>
      <c r="B14" t="s">
        <v>78</v>
      </c>
      <c r="D14">
        <v>249</v>
      </c>
      <c r="E14">
        <v>351</v>
      </c>
      <c r="F14" t="str" cm="1">
        <f t="array" aca="1" ref="F14" ca="1">_xlfn.CONCAT(_xlfn.TEXTSPLIT(CELL("address",L14),"$"))</f>
        <v>L14</v>
      </c>
      <c r="G14">
        <v>2</v>
      </c>
      <c r="H14" t="s">
        <v>123</v>
      </c>
      <c r="K14" s="6" t="s">
        <v>14</v>
      </c>
      <c r="L14" s="7" t="str">
        <f>M14</f>
        <v>Normally Filled out by owner, can be left blank</v>
      </c>
      <c r="M14" s="10" t="s">
        <v>37</v>
      </c>
    </row>
    <row r="15" spans="1:13" x14ac:dyDescent="0.3">
      <c r="K15" s="18" t="s">
        <v>36</v>
      </c>
      <c r="L15" s="18"/>
    </row>
    <row r="16" spans="1:13" x14ac:dyDescent="0.3">
      <c r="A16" t="str">
        <f>_xlfn.CONCAT($K$15," ",K16)</f>
        <v>Contact Information: Person Applying for Construction Permit Name</v>
      </c>
      <c r="B16" t="s">
        <v>78</v>
      </c>
      <c r="D16">
        <v>31</v>
      </c>
      <c r="E16">
        <v>402</v>
      </c>
      <c r="F16" t="str" cm="1">
        <f t="array" aca="1" ref="F16" ca="1">_xlfn.CONCAT(_xlfn.TEXTSPLIT(CELL("address",L16),"$"))</f>
        <v>L16</v>
      </c>
      <c r="G16">
        <v>2</v>
      </c>
      <c r="H16" t="s">
        <v>123</v>
      </c>
      <c r="K16" s="5" t="s">
        <v>5</v>
      </c>
      <c r="L16" s="3" t="s">
        <v>15</v>
      </c>
    </row>
    <row r="17" spans="1:13" x14ac:dyDescent="0.3">
      <c r="A17" t="str">
        <f t="shared" ref="A17:A19" si="2">_xlfn.CONCAT($K$15," ",K17)</f>
        <v>Contact Information: Person Applying for Construction Permit Address</v>
      </c>
      <c r="B17" t="s">
        <v>78</v>
      </c>
      <c r="D17">
        <v>31</v>
      </c>
      <c r="E17">
        <v>429</v>
      </c>
      <c r="F17" t="str" cm="1">
        <f t="array" aca="1" ref="F17" ca="1">_xlfn.CONCAT(_xlfn.TEXTSPLIT(CELL("address",L17),"$"))</f>
        <v>L17</v>
      </c>
      <c r="G17">
        <v>2</v>
      </c>
      <c r="H17" t="s">
        <v>123</v>
      </c>
      <c r="K17" s="6" t="s">
        <v>12</v>
      </c>
      <c r="L17" s="7" t="s">
        <v>16</v>
      </c>
    </row>
    <row r="18" spans="1:13" x14ac:dyDescent="0.3">
      <c r="A18" t="str">
        <f t="shared" si="2"/>
        <v>Contact Information: Person Applying for Construction Permit Phone Number</v>
      </c>
      <c r="B18" t="s">
        <v>78</v>
      </c>
      <c r="D18">
        <v>31</v>
      </c>
      <c r="E18">
        <v>458</v>
      </c>
      <c r="F18" t="str" cm="1">
        <f t="array" aca="1" ref="F18" ca="1">_xlfn.CONCAT(_xlfn.TEXTSPLIT(CELL("address",L18),"$"))</f>
        <v>L18</v>
      </c>
      <c r="G18">
        <v>2</v>
      </c>
      <c r="H18" t="s">
        <v>123</v>
      </c>
      <c r="K18" s="5" t="s">
        <v>13</v>
      </c>
      <c r="L18" s="3" t="s">
        <v>17</v>
      </c>
    </row>
    <row r="19" spans="1:13" x14ac:dyDescent="0.3">
      <c r="A19" t="str">
        <f t="shared" si="2"/>
        <v>Contact Information: Person Applying for Construction Permit Email</v>
      </c>
      <c r="B19" t="s">
        <v>78</v>
      </c>
      <c r="D19">
        <v>249</v>
      </c>
      <c r="E19">
        <v>458</v>
      </c>
      <c r="F19" t="str" cm="1">
        <f t="array" aca="1" ref="F19" ca="1">_xlfn.CONCAT(_xlfn.TEXTSPLIT(CELL("address",L19),"$"))</f>
        <v>L19</v>
      </c>
      <c r="G19">
        <v>2</v>
      </c>
      <c r="H19" t="s">
        <v>123</v>
      </c>
      <c r="K19" s="6" t="s">
        <v>14</v>
      </c>
      <c r="L19" s="7" t="s">
        <v>18</v>
      </c>
    </row>
    <row r="20" spans="1:13" x14ac:dyDescent="0.3">
      <c r="K20" s="18" t="s">
        <v>32</v>
      </c>
      <c r="L20" s="18"/>
    </row>
    <row r="21" spans="1:13" x14ac:dyDescent="0.3">
      <c r="A21" t="str">
        <f>_xlfn.CONCAT($K$20,": ",K21)</f>
        <v>Owner's Confirmation of Commitment: Owner Name</v>
      </c>
      <c r="B21" t="s">
        <v>78</v>
      </c>
      <c r="D21">
        <v>46</v>
      </c>
      <c r="E21">
        <v>493</v>
      </c>
      <c r="F21" t="str" cm="1">
        <f t="array" aca="1" ref="F21" ca="1">_xlfn.CONCAT(_xlfn.TEXTSPLIT(CELL("address",L21),"$"))</f>
        <v>L21</v>
      </c>
      <c r="G21">
        <v>2</v>
      </c>
      <c r="H21" t="s">
        <v>123</v>
      </c>
      <c r="I21" t="s">
        <v>126</v>
      </c>
      <c r="J21">
        <v>0</v>
      </c>
      <c r="K21" s="6" t="s">
        <v>33</v>
      </c>
      <c r="L21" s="7"/>
      <c r="M21" s="10" t="s">
        <v>37</v>
      </c>
    </row>
    <row r="22" spans="1:13" x14ac:dyDescent="0.3">
      <c r="I22" t="s">
        <v>127</v>
      </c>
      <c r="J22">
        <v>2</v>
      </c>
      <c r="K22" s="6"/>
      <c r="L22" s="7"/>
      <c r="M22" s="10"/>
    </row>
    <row r="23" spans="1:13" x14ac:dyDescent="0.3">
      <c r="A23" t="str">
        <f t="shared" ref="A23:A25" si="3">_xlfn.CONCAT($K$20,": ",K23)</f>
        <v>Owner's Confirmation of Commitment: Health Authority</v>
      </c>
      <c r="B23" t="s">
        <v>78</v>
      </c>
      <c r="D23">
        <v>36</v>
      </c>
      <c r="E23">
        <v>590</v>
      </c>
      <c r="F23" t="str" cm="1">
        <f t="array" aca="1" ref="F23" ca="1">_xlfn.CONCAT(_xlfn.TEXTSPLIT(CELL("address",L23),"$"))</f>
        <v>L23</v>
      </c>
      <c r="G23">
        <v>2</v>
      </c>
      <c r="H23" t="s">
        <v>123</v>
      </c>
      <c r="I23" t="s">
        <v>126</v>
      </c>
      <c r="J23">
        <v>0</v>
      </c>
      <c r="K23" s="5" t="s">
        <v>31</v>
      </c>
      <c r="L23" s="11" t="str">
        <f>L2</f>
        <v>Fraser</v>
      </c>
    </row>
    <row r="24" spans="1:13" x14ac:dyDescent="0.3">
      <c r="I24" t="s">
        <v>127</v>
      </c>
      <c r="J24">
        <v>2</v>
      </c>
      <c r="K24" s="5"/>
      <c r="L24" s="11"/>
    </row>
    <row r="25" spans="1:13" x14ac:dyDescent="0.3">
      <c r="A25" t="str">
        <f t="shared" si="3"/>
        <v>Owner's Confirmation of Commitment: Date</v>
      </c>
      <c r="B25" t="s">
        <v>78</v>
      </c>
      <c r="D25">
        <v>376</v>
      </c>
      <c r="E25">
        <v>733</v>
      </c>
      <c r="F25" t="str" cm="1">
        <f t="array" aca="1" ref="F25" ca="1">_xlfn.CONCAT(_xlfn.TEXTSPLIT(CELL("address",L25),"$"))</f>
        <v>L25</v>
      </c>
      <c r="G25">
        <v>2</v>
      </c>
      <c r="H25" t="s">
        <v>123</v>
      </c>
      <c r="K25" s="6" t="s">
        <v>8</v>
      </c>
      <c r="L25" s="12">
        <f ca="1">L9</f>
        <v>45957</v>
      </c>
    </row>
    <row r="26" spans="1:13" x14ac:dyDescent="0.3">
      <c r="K26" s="18" t="s">
        <v>19</v>
      </c>
      <c r="L26" s="18"/>
    </row>
    <row r="27" spans="1:13" x14ac:dyDescent="0.3">
      <c r="A27" t="str">
        <f>_xlfn.CONCAT($K$26,": ",K27)</f>
        <v>General Information: Name of Pool:</v>
      </c>
      <c r="B27" t="s">
        <v>78</v>
      </c>
      <c r="D27">
        <v>97</v>
      </c>
      <c r="E27">
        <v>152</v>
      </c>
      <c r="F27" t="str" cm="1">
        <f t="array" aca="1" ref="F27" ca="1">_xlfn.CONCAT(_xlfn.TEXTSPLIT(CELL("address",L27),"$"))</f>
        <v>L27</v>
      </c>
      <c r="G27">
        <v>3</v>
      </c>
      <c r="H27" t="s">
        <v>123</v>
      </c>
      <c r="I27" t="s">
        <v>127</v>
      </c>
      <c r="J27">
        <v>9</v>
      </c>
      <c r="K27" s="5" t="s">
        <v>20</v>
      </c>
      <c r="L27" s="2" t="str">
        <f>L7</f>
        <v>AME test pool</v>
      </c>
    </row>
    <row r="28" spans="1:13" x14ac:dyDescent="0.3">
      <c r="A28" t="str">
        <f t="shared" ref="A28:A29" si="4">_xlfn.CONCAT($K$26,": ",K28)</f>
        <v>General Information: Civic Address:</v>
      </c>
      <c r="B28" t="s">
        <v>78</v>
      </c>
      <c r="D28">
        <v>97</v>
      </c>
      <c r="E28">
        <v>178</v>
      </c>
      <c r="F28" t="str" cm="1">
        <f t="array" aca="1" ref="F28" ca="1">_xlfn.CONCAT(_xlfn.TEXTSPLIT(CELL("address",L28),"$"))</f>
        <v>L28</v>
      </c>
      <c r="G28">
        <v>3</v>
      </c>
      <c r="H28" t="s">
        <v>123</v>
      </c>
      <c r="I28" t="s">
        <v>127</v>
      </c>
      <c r="J28">
        <v>9</v>
      </c>
      <c r="K28" s="6" t="s">
        <v>21</v>
      </c>
      <c r="L28" s="4" t="str">
        <f>L8</f>
        <v>1175 Douglas St #912, Victoria, BC V8W 2E1</v>
      </c>
    </row>
    <row r="29" spans="1:13" x14ac:dyDescent="0.3">
      <c r="A29" t="str">
        <f t="shared" si="4"/>
        <v>General Information: Pool Type:</v>
      </c>
      <c r="B29" t="s">
        <v>79</v>
      </c>
      <c r="C29" t="s">
        <v>24</v>
      </c>
      <c r="D29">
        <v>180</v>
      </c>
      <c r="E29">
        <v>193</v>
      </c>
      <c r="F29" t="str" cm="1">
        <f t="array" aca="1" ref="F29" ca="1">_xlfn.CONCAT(_xlfn.TEXTSPLIT(CELL("address",L29),"$"))</f>
        <v>L29</v>
      </c>
      <c r="G29">
        <v>3</v>
      </c>
      <c r="H29" t="s">
        <v>123</v>
      </c>
      <c r="K29" s="5" t="s">
        <v>22</v>
      </c>
      <c r="L29" s="3" t="s">
        <v>26</v>
      </c>
    </row>
    <row r="30" spans="1:13" x14ac:dyDescent="0.3">
      <c r="C30" t="s">
        <v>25</v>
      </c>
      <c r="D30">
        <v>282</v>
      </c>
      <c r="E30">
        <v>193</v>
      </c>
      <c r="K30" s="5"/>
      <c r="L30" s="3"/>
    </row>
    <row r="31" spans="1:13" x14ac:dyDescent="0.3">
      <c r="C31" t="s">
        <v>26</v>
      </c>
      <c r="D31">
        <v>343</v>
      </c>
      <c r="E31">
        <v>193</v>
      </c>
      <c r="K31" s="5"/>
      <c r="L31" s="3"/>
    </row>
    <row r="32" spans="1:13" x14ac:dyDescent="0.3">
      <c r="C32" t="s">
        <v>27</v>
      </c>
      <c r="D32">
        <v>414</v>
      </c>
      <c r="E32">
        <v>193</v>
      </c>
      <c r="K32" s="5"/>
      <c r="L32" s="3"/>
    </row>
    <row r="33" spans="1:13" x14ac:dyDescent="0.3">
      <c r="C33" t="s">
        <v>28</v>
      </c>
      <c r="D33">
        <v>497</v>
      </c>
      <c r="E33">
        <v>193</v>
      </c>
      <c r="K33" s="5"/>
      <c r="L33" s="3"/>
    </row>
    <row r="34" spans="1:13" x14ac:dyDescent="0.3">
      <c r="A34" t="str">
        <f>_xlfn.CONCAT($K$26,": ",K34)</f>
        <v>General Information: Indoor/Outdoor</v>
      </c>
      <c r="B34" t="s">
        <v>79</v>
      </c>
      <c r="C34" t="s">
        <v>29</v>
      </c>
      <c r="D34">
        <v>561</v>
      </c>
      <c r="E34">
        <v>193</v>
      </c>
      <c r="F34" t="str" cm="1">
        <f t="array" aca="1" ref="F34" ca="1">_xlfn.CONCAT(_xlfn.TEXTSPLIT(CELL("address",L34),"$"))</f>
        <v>L34</v>
      </c>
      <c r="G34">
        <v>3</v>
      </c>
      <c r="H34" t="s">
        <v>123</v>
      </c>
      <c r="K34" s="6" t="s">
        <v>23</v>
      </c>
      <c r="L34" s="7" t="s">
        <v>29</v>
      </c>
    </row>
    <row r="35" spans="1:13" x14ac:dyDescent="0.3">
      <c r="C35" t="s">
        <v>30</v>
      </c>
      <c r="D35">
        <v>561</v>
      </c>
      <c r="E35">
        <v>204</v>
      </c>
      <c r="K35" s="6"/>
      <c r="L35" s="7"/>
    </row>
    <row r="36" spans="1:13" x14ac:dyDescent="0.3">
      <c r="K36" s="18" t="s">
        <v>38</v>
      </c>
      <c r="L36" s="18"/>
    </row>
    <row r="37" spans="1:13" x14ac:dyDescent="0.3">
      <c r="A37" t="str">
        <f>_xlfn.CONCAT($K$36,": ",K37)</f>
        <v>Owner Information: Name</v>
      </c>
      <c r="B37" t="s">
        <v>78</v>
      </c>
      <c r="D37">
        <v>144</v>
      </c>
      <c r="E37">
        <v>253</v>
      </c>
      <c r="F37" t="str" cm="1">
        <f t="array" aca="1" ref="F37" ca="1">_xlfn.CONCAT(_xlfn.TEXTSPLIT(CELL("address",L37),"$"))</f>
        <v>L37</v>
      </c>
      <c r="G37">
        <v>3</v>
      </c>
      <c r="H37" t="s">
        <v>123</v>
      </c>
      <c r="I37" t="s">
        <v>127</v>
      </c>
      <c r="J37">
        <v>9</v>
      </c>
      <c r="K37" s="5" t="s">
        <v>5</v>
      </c>
      <c r="L37" s="3" t="s">
        <v>15</v>
      </c>
      <c r="M37" s="10" t="s">
        <v>37</v>
      </c>
    </row>
    <row r="38" spans="1:13" x14ac:dyDescent="0.3">
      <c r="A38" t="str">
        <f t="shared" ref="A38:A40" si="5">_xlfn.CONCAT($K$36,": ",K38)</f>
        <v>Owner Information: Address</v>
      </c>
      <c r="B38" t="s">
        <v>78</v>
      </c>
      <c r="D38">
        <v>73</v>
      </c>
      <c r="E38">
        <v>279</v>
      </c>
      <c r="F38" t="str" cm="1">
        <f t="array" aca="1" ref="F38" ca="1">_xlfn.CONCAT(_xlfn.TEXTSPLIT(CELL("address",L38),"$"))</f>
        <v>L38</v>
      </c>
      <c r="G38">
        <v>3</v>
      </c>
      <c r="H38" t="s">
        <v>123</v>
      </c>
      <c r="I38" t="s">
        <v>127</v>
      </c>
      <c r="J38">
        <v>9</v>
      </c>
      <c r="K38" s="6" t="s">
        <v>12</v>
      </c>
      <c r="L38" s="7" t="s">
        <v>16</v>
      </c>
      <c r="M38" s="10" t="s">
        <v>37</v>
      </c>
    </row>
    <row r="39" spans="1:13" x14ac:dyDescent="0.3">
      <c r="A39" t="str">
        <f t="shared" si="5"/>
        <v>Owner Information: Phone Number</v>
      </c>
      <c r="B39" t="s">
        <v>78</v>
      </c>
      <c r="D39">
        <v>104</v>
      </c>
      <c r="E39">
        <v>306</v>
      </c>
      <c r="F39" t="str" cm="1">
        <f t="array" aca="1" ref="F39" ca="1">_xlfn.CONCAT(_xlfn.TEXTSPLIT(CELL("address",L39),"$"))</f>
        <v>L39</v>
      </c>
      <c r="G39">
        <v>3</v>
      </c>
      <c r="H39" t="s">
        <v>123</v>
      </c>
      <c r="I39" t="s">
        <v>127</v>
      </c>
      <c r="J39">
        <v>9</v>
      </c>
      <c r="K39" s="5" t="s">
        <v>13</v>
      </c>
      <c r="L39" s="3" t="s">
        <v>17</v>
      </c>
      <c r="M39" s="10" t="s">
        <v>37</v>
      </c>
    </row>
    <row r="40" spans="1:13" x14ac:dyDescent="0.3">
      <c r="A40" t="str">
        <f t="shared" si="5"/>
        <v>Owner Information: Email</v>
      </c>
      <c r="B40" t="s">
        <v>78</v>
      </c>
      <c r="D40">
        <v>321</v>
      </c>
      <c r="E40">
        <v>306</v>
      </c>
      <c r="F40" t="str" cm="1">
        <f t="array" aca="1" ref="F40" ca="1">_xlfn.CONCAT(_xlfn.TEXTSPLIT(CELL("address",L40),"$"))</f>
        <v>L40</v>
      </c>
      <c r="G40">
        <v>3</v>
      </c>
      <c r="H40" t="s">
        <v>123</v>
      </c>
      <c r="I40" t="s">
        <v>127</v>
      </c>
      <c r="J40">
        <v>9</v>
      </c>
      <c r="K40" s="6" t="s">
        <v>14</v>
      </c>
      <c r="L40" s="7" t="s">
        <v>18</v>
      </c>
      <c r="M40" s="10" t="s">
        <v>37</v>
      </c>
    </row>
    <row r="41" spans="1:13" x14ac:dyDescent="0.3">
      <c r="K41" s="18" t="s">
        <v>39</v>
      </c>
      <c r="L41" s="18"/>
    </row>
    <row r="42" spans="1:13" x14ac:dyDescent="0.3">
      <c r="A42" t="str">
        <f>_xlfn.CONCAT($K$41,": ",K42)</f>
        <v>Designer Information (Append additional information for multiple designers): Name</v>
      </c>
      <c r="B42" t="s">
        <v>78</v>
      </c>
      <c r="D42">
        <v>64</v>
      </c>
      <c r="E42">
        <v>357</v>
      </c>
      <c r="F42" t="str" cm="1">
        <f t="array" aca="1" ref="F42" ca="1">_xlfn.CONCAT(_xlfn.TEXTSPLIT(CELL("address",L42),"$"))</f>
        <v>L42</v>
      </c>
      <c r="G42">
        <v>3</v>
      </c>
      <c r="H42" t="s">
        <v>123</v>
      </c>
      <c r="I42" t="s">
        <v>127</v>
      </c>
      <c r="J42">
        <v>10</v>
      </c>
      <c r="K42" s="6" t="s">
        <v>5</v>
      </c>
      <c r="L42" s="4" t="str">
        <f>L16</f>
        <v>John Doe</v>
      </c>
    </row>
    <row r="43" spans="1:13" x14ac:dyDescent="0.3">
      <c r="A43" t="str">
        <f>_xlfn.CONCAT($K$41,": ",K43)</f>
        <v>Designer Information (Append additional information for multiple designers): Professional Designation</v>
      </c>
      <c r="B43" t="s">
        <v>79</v>
      </c>
      <c r="C43" t="s">
        <v>43</v>
      </c>
      <c r="D43">
        <v>516</v>
      </c>
      <c r="E43">
        <v>343</v>
      </c>
      <c r="F43" t="str" cm="1">
        <f t="array" aca="1" ref="F43" ca="1">_xlfn.CONCAT(_xlfn.TEXTSPLIT(CELL("address",L43),"$"))</f>
        <v>L43</v>
      </c>
      <c r="G43">
        <v>3</v>
      </c>
      <c r="H43" t="s">
        <v>123</v>
      </c>
      <c r="K43" s="5" t="s">
        <v>42</v>
      </c>
      <c r="L43" s="3" t="s">
        <v>43</v>
      </c>
    </row>
    <row r="44" spans="1:13" x14ac:dyDescent="0.3">
      <c r="C44" t="s">
        <v>81</v>
      </c>
      <c r="D44">
        <v>516</v>
      </c>
      <c r="E44">
        <v>354</v>
      </c>
      <c r="K44" s="5"/>
      <c r="L44" s="3"/>
    </row>
    <row r="45" spans="1:13" x14ac:dyDescent="0.3">
      <c r="A45" t="str">
        <f t="shared" ref="A45:A48" si="6">_xlfn.CONCAT($K$41,": ",K45)</f>
        <v>Designer Information (Append additional information for multiple designers): Company (Legal Corporate)</v>
      </c>
      <c r="B45" t="s">
        <v>78</v>
      </c>
      <c r="D45">
        <v>161</v>
      </c>
      <c r="E45">
        <v>383</v>
      </c>
      <c r="F45" t="str" cm="1">
        <f t="array" aca="1" ref="F45" ca="1">_xlfn.CONCAT(_xlfn.TEXTSPLIT(CELL("address",L45),"$"))</f>
        <v>L45</v>
      </c>
      <c r="G45">
        <v>3</v>
      </c>
      <c r="H45" t="s">
        <v>123</v>
      </c>
      <c r="I45" t="s">
        <v>127</v>
      </c>
      <c r="J45">
        <v>10</v>
      </c>
      <c r="K45" s="6" t="s">
        <v>40</v>
      </c>
      <c r="L45" s="7" t="s">
        <v>41</v>
      </c>
    </row>
    <row r="46" spans="1:13" x14ac:dyDescent="0.3">
      <c r="A46" t="str">
        <f t="shared" si="6"/>
        <v>Designer Information (Append additional information for multiple designers): Address</v>
      </c>
      <c r="B46" t="s">
        <v>78</v>
      </c>
      <c r="D46">
        <v>73</v>
      </c>
      <c r="E46">
        <v>409</v>
      </c>
      <c r="F46" t="str" cm="1">
        <f t="array" aca="1" ref="F46" ca="1">_xlfn.CONCAT(_xlfn.TEXTSPLIT(CELL("address",L46),"$"))</f>
        <v>L46</v>
      </c>
      <c r="G46">
        <v>3</v>
      </c>
      <c r="H46" t="s">
        <v>123</v>
      </c>
      <c r="I46" t="s">
        <v>127</v>
      </c>
      <c r="J46">
        <v>10</v>
      </c>
      <c r="K46" s="5" t="s">
        <v>12</v>
      </c>
      <c r="L46" s="2" t="str">
        <f>L17</f>
        <v>638 Smithe St Suite 200, Vancouver, BC V6B 1E3</v>
      </c>
    </row>
    <row r="47" spans="1:13" x14ac:dyDescent="0.3">
      <c r="A47" t="str">
        <f t="shared" si="6"/>
        <v>Designer Information (Append additional information for multiple designers): Phone Number</v>
      </c>
      <c r="B47" t="s">
        <v>78</v>
      </c>
      <c r="D47">
        <v>104</v>
      </c>
      <c r="E47">
        <v>435</v>
      </c>
      <c r="F47" t="str" cm="1">
        <f t="array" aca="1" ref="F47" ca="1">_xlfn.CONCAT(_xlfn.TEXTSPLIT(CELL("address",L47),"$"))</f>
        <v>L47</v>
      </c>
      <c r="G47">
        <v>3</v>
      </c>
      <c r="H47" t="s">
        <v>123</v>
      </c>
      <c r="I47" t="s">
        <v>127</v>
      </c>
      <c r="J47">
        <v>10</v>
      </c>
      <c r="K47" s="6" t="s">
        <v>13</v>
      </c>
      <c r="L47" s="4" t="str">
        <f>L18</f>
        <v>098-765-4321</v>
      </c>
    </row>
    <row r="48" spans="1:13" x14ac:dyDescent="0.3">
      <c r="A48" t="str">
        <f t="shared" si="6"/>
        <v>Designer Information (Append additional information for multiple designers): Email</v>
      </c>
      <c r="B48" t="s">
        <v>78</v>
      </c>
      <c r="D48">
        <v>321</v>
      </c>
      <c r="E48">
        <v>435</v>
      </c>
      <c r="F48" t="str" cm="1">
        <f t="array" aca="1" ref="F48" ca="1">_xlfn.CONCAT(_xlfn.TEXTSPLIT(CELL("address",L48),"$"))</f>
        <v>L48</v>
      </c>
      <c r="G48">
        <v>3</v>
      </c>
      <c r="H48" t="s">
        <v>123</v>
      </c>
      <c r="I48" t="s">
        <v>127</v>
      </c>
      <c r="J48">
        <v>10</v>
      </c>
      <c r="K48" s="5" t="s">
        <v>14</v>
      </c>
      <c r="L48" s="2" t="str">
        <f>L19</f>
        <v>random@icould.com</v>
      </c>
    </row>
    <row r="49" spans="1:13" x14ac:dyDescent="0.3">
      <c r="K49" s="18" t="s">
        <v>44</v>
      </c>
      <c r="L49" s="18"/>
    </row>
    <row r="50" spans="1:13" x14ac:dyDescent="0.3">
      <c r="A50" t="str">
        <f>_xlfn.CONCAT($K$49,": ",K50)</f>
        <v>General Pool Parameters: Pool Volume: (m^3)</v>
      </c>
      <c r="B50" t="s">
        <v>78</v>
      </c>
      <c r="D50">
        <v>115</v>
      </c>
      <c r="E50">
        <v>491</v>
      </c>
      <c r="F50" t="str" cm="1">
        <f t="array" aca="1" ref="F50" ca="1">_xlfn.CONCAT(_xlfn.TEXTSPLIT(CELL("address",L50),"$"))</f>
        <v>L50</v>
      </c>
      <c r="G50">
        <v>3</v>
      </c>
      <c r="H50" t="s">
        <v>123</v>
      </c>
      <c r="I50" t="s">
        <v>127</v>
      </c>
      <c r="J50">
        <v>11</v>
      </c>
      <c r="K50" s="5" t="s">
        <v>45</v>
      </c>
      <c r="L50" s="13">
        <v>300</v>
      </c>
    </row>
    <row r="51" spans="1:13" x14ac:dyDescent="0.3">
      <c r="A51" t="str">
        <f t="shared" ref="A51:A61" si="7">_xlfn.CONCAT($K$49,": ",K51)</f>
        <v>General Pool Parameters: Turnover: (hours)</v>
      </c>
      <c r="B51" t="s">
        <v>78</v>
      </c>
      <c r="D51">
        <v>232</v>
      </c>
      <c r="E51">
        <v>491</v>
      </c>
      <c r="F51" t="str" cm="1">
        <f t="array" aca="1" ref="F51" ca="1">_xlfn.CONCAT(_xlfn.TEXTSPLIT(CELL("address",L51),"$"))</f>
        <v>L51</v>
      </c>
      <c r="G51">
        <v>3</v>
      </c>
      <c r="H51" t="s">
        <v>123</v>
      </c>
      <c r="I51" t="s">
        <v>127</v>
      </c>
      <c r="J51">
        <v>11</v>
      </c>
      <c r="K51" s="6" t="s">
        <v>46</v>
      </c>
      <c r="L51" s="14">
        <v>2.33</v>
      </c>
    </row>
    <row r="52" spans="1:13" x14ac:dyDescent="0.3">
      <c r="A52" t="str">
        <f t="shared" si="7"/>
        <v>General Pool Parameters: Design Re-circulation Flow Rate: (L/sec)</v>
      </c>
      <c r="B52" t="s">
        <v>78</v>
      </c>
      <c r="D52">
        <v>468</v>
      </c>
      <c r="E52">
        <v>491</v>
      </c>
      <c r="F52" t="str" cm="1">
        <f t="array" aca="1" ref="F52" ca="1">_xlfn.CONCAT(_xlfn.TEXTSPLIT(CELL("address",L52),"$"))</f>
        <v>L52</v>
      </c>
      <c r="G52">
        <v>3</v>
      </c>
      <c r="H52" t="s">
        <v>123</v>
      </c>
      <c r="I52" t="s">
        <v>127</v>
      </c>
      <c r="J52">
        <v>11</v>
      </c>
      <c r="K52" s="5" t="s">
        <v>47</v>
      </c>
      <c r="L52" s="13">
        <v>1200</v>
      </c>
    </row>
    <row r="53" spans="1:13" x14ac:dyDescent="0.3">
      <c r="A53" t="str">
        <f t="shared" si="7"/>
        <v>General Pool Parameters: Pool Area (m^2)</v>
      </c>
      <c r="B53" t="s">
        <v>78</v>
      </c>
      <c r="D53">
        <v>148</v>
      </c>
      <c r="E53">
        <v>522</v>
      </c>
      <c r="F53" t="str" cm="1">
        <f t="array" aca="1" ref="F53" ca="1">_xlfn.CONCAT(_xlfn.TEXTSPLIT(CELL("address",L53),"$"))</f>
        <v>L53</v>
      </c>
      <c r="G53">
        <v>3</v>
      </c>
      <c r="H53" t="s">
        <v>123</v>
      </c>
      <c r="I53" t="s">
        <v>127</v>
      </c>
      <c r="J53">
        <v>11</v>
      </c>
      <c r="K53" s="6" t="s">
        <v>48</v>
      </c>
      <c r="L53" s="14">
        <v>30</v>
      </c>
    </row>
    <row r="54" spans="1:13" x14ac:dyDescent="0.3">
      <c r="A54" t="str">
        <f t="shared" si="7"/>
        <v>General Pool Parameters: Deck Area (m^2)</v>
      </c>
      <c r="B54" t="s">
        <v>78</v>
      </c>
      <c r="D54">
        <v>243</v>
      </c>
      <c r="E54">
        <v>522</v>
      </c>
      <c r="F54" t="str" cm="1">
        <f t="array" aca="1" ref="F54" ca="1">_xlfn.CONCAT(_xlfn.TEXTSPLIT(CELL("address",L54),"$"))</f>
        <v>L54</v>
      </c>
      <c r="G54">
        <v>3</v>
      </c>
      <c r="H54" t="s">
        <v>123</v>
      </c>
      <c r="I54" t="s">
        <v>127</v>
      </c>
      <c r="J54">
        <v>11</v>
      </c>
      <c r="K54" s="5" t="s">
        <v>49</v>
      </c>
      <c r="L54" s="13">
        <v>20</v>
      </c>
    </row>
    <row r="55" spans="1:13" x14ac:dyDescent="0.3">
      <c r="A55" t="str">
        <f t="shared" si="7"/>
        <v>General Pool Parameters: Minimum Water Depth</v>
      </c>
      <c r="B55" t="s">
        <v>78</v>
      </c>
      <c r="D55">
        <v>420</v>
      </c>
      <c r="E55">
        <v>522</v>
      </c>
      <c r="F55" t="str" cm="1">
        <f t="array" aca="1" ref="F55" ca="1">_xlfn.CONCAT(_xlfn.TEXTSPLIT(CELL("address",L55),"$"))</f>
        <v>L55</v>
      </c>
      <c r="G55">
        <v>3</v>
      </c>
      <c r="H55" t="s">
        <v>123</v>
      </c>
      <c r="I55" t="s">
        <v>127</v>
      </c>
      <c r="J55">
        <v>11</v>
      </c>
      <c r="K55" s="6" t="s">
        <v>50</v>
      </c>
      <c r="L55" s="14">
        <v>1</v>
      </c>
      <c r="M55" s="10" t="s">
        <v>60</v>
      </c>
    </row>
    <row r="56" spans="1:13" x14ac:dyDescent="0.3">
      <c r="A56" t="str">
        <f t="shared" si="7"/>
        <v>General Pool Parameters: Maximum Water Depth</v>
      </c>
      <c r="B56" t="s">
        <v>78</v>
      </c>
      <c r="D56">
        <v>515</v>
      </c>
      <c r="E56">
        <v>522</v>
      </c>
      <c r="F56" t="str" cm="1">
        <f t="array" aca="1" ref="F56" ca="1">_xlfn.CONCAT(_xlfn.TEXTSPLIT(CELL("address",L56),"$"))</f>
        <v>L56</v>
      </c>
      <c r="G56">
        <v>3</v>
      </c>
      <c r="H56" t="s">
        <v>123</v>
      </c>
      <c r="I56" t="s">
        <v>127</v>
      </c>
      <c r="J56">
        <v>11</v>
      </c>
      <c r="K56" s="5" t="s">
        <v>51</v>
      </c>
      <c r="L56" s="13">
        <v>3</v>
      </c>
    </row>
    <row r="57" spans="1:13" x14ac:dyDescent="0.3">
      <c r="A57" t="str">
        <f t="shared" si="7"/>
        <v>General Pool Parameters: Shallow Bathing Load</v>
      </c>
      <c r="B57" t="s">
        <v>78</v>
      </c>
      <c r="D57">
        <v>163</v>
      </c>
      <c r="E57">
        <v>552</v>
      </c>
      <c r="F57" t="str" cm="1">
        <f t="array" aca="1" ref="F57" ca="1">_xlfn.CONCAT(_xlfn.TEXTSPLIT(CELL("address",L57),"$"))</f>
        <v>L57</v>
      </c>
      <c r="G57">
        <v>3</v>
      </c>
      <c r="H57" t="s">
        <v>123</v>
      </c>
      <c r="I57" t="s">
        <v>127</v>
      </c>
      <c r="J57">
        <v>11</v>
      </c>
      <c r="K57" s="6" t="s">
        <v>52</v>
      </c>
      <c r="L57" s="14">
        <v>100</v>
      </c>
    </row>
    <row r="58" spans="1:13" x14ac:dyDescent="0.3">
      <c r="A58" t="str">
        <f t="shared" si="7"/>
        <v>General Pool Parameters: Deep Bathing Load</v>
      </c>
      <c r="B58" t="s">
        <v>78</v>
      </c>
      <c r="D58">
        <v>315</v>
      </c>
      <c r="E58">
        <v>552</v>
      </c>
      <c r="F58" t="str" cm="1">
        <f t="array" aca="1" ref="F58" ca="1">_xlfn.CONCAT(_xlfn.TEXTSPLIT(CELL("address",L58),"$"))</f>
        <v>L58</v>
      </c>
      <c r="G58">
        <v>3</v>
      </c>
      <c r="H58" t="s">
        <v>123</v>
      </c>
      <c r="I58" t="s">
        <v>127</v>
      </c>
      <c r="J58">
        <v>11</v>
      </c>
      <c r="K58" s="5" t="s">
        <v>53</v>
      </c>
      <c r="L58" s="13">
        <v>100</v>
      </c>
    </row>
    <row r="59" spans="1:13" x14ac:dyDescent="0.3">
      <c r="A59" t="str">
        <f t="shared" si="7"/>
        <v>General Pool Parameters: Total Bathing Load</v>
      </c>
      <c r="B59" t="s">
        <v>78</v>
      </c>
      <c r="D59">
        <v>469</v>
      </c>
      <c r="E59">
        <v>552</v>
      </c>
      <c r="F59" t="str" cm="1">
        <f t="array" aca="1" ref="F59" ca="1">_xlfn.CONCAT(_xlfn.TEXTSPLIT(CELL("address",L59),"$"))</f>
        <v>L59</v>
      </c>
      <c r="G59">
        <v>3</v>
      </c>
      <c r="H59" t="s">
        <v>123</v>
      </c>
      <c r="I59" t="s">
        <v>127</v>
      </c>
      <c r="J59">
        <v>11</v>
      </c>
      <c r="K59" s="6" t="s">
        <v>54</v>
      </c>
      <c r="L59" s="15">
        <f>SUM(L57:L58)</f>
        <v>200</v>
      </c>
    </row>
    <row r="60" spans="1:13" x14ac:dyDescent="0.3">
      <c r="A60" t="str">
        <f t="shared" si="7"/>
        <v>General Pool Parameters: Pool Basin Color</v>
      </c>
      <c r="B60" t="s">
        <v>78</v>
      </c>
      <c r="D60">
        <v>157</v>
      </c>
      <c r="E60">
        <v>582</v>
      </c>
      <c r="F60" t="str" cm="1">
        <f t="array" aca="1" ref="F60" ca="1">_xlfn.CONCAT(_xlfn.TEXTSPLIT(CELL("address",L60),"$"))</f>
        <v>L60</v>
      </c>
      <c r="G60">
        <v>3</v>
      </c>
      <c r="H60" t="s">
        <v>123</v>
      </c>
      <c r="I60" t="s">
        <v>127</v>
      </c>
      <c r="J60">
        <v>11</v>
      </c>
      <c r="K60" s="5" t="s">
        <v>55</v>
      </c>
      <c r="L60" s="13" t="s">
        <v>75</v>
      </c>
    </row>
    <row r="61" spans="1:13" x14ac:dyDescent="0.3">
      <c r="A61" t="str">
        <f t="shared" si="7"/>
        <v>General Pool Parameters: Complies with Pool Regulations</v>
      </c>
      <c r="B61" t="s">
        <v>79</v>
      </c>
      <c r="C61" t="s">
        <v>57</v>
      </c>
      <c r="D61">
        <v>444</v>
      </c>
      <c r="E61">
        <v>568</v>
      </c>
      <c r="F61" t="str" cm="1">
        <f t="array" aca="1" ref="F61" ca="1">_xlfn.CONCAT(_xlfn.TEXTSPLIT(CELL("address",L61),"$"))</f>
        <v>L61</v>
      </c>
      <c r="G61">
        <v>3</v>
      </c>
      <c r="H61" t="s">
        <v>123</v>
      </c>
      <c r="K61" s="6" t="s">
        <v>56</v>
      </c>
      <c r="L61" s="14" t="s">
        <v>57</v>
      </c>
    </row>
    <row r="62" spans="1:13" x14ac:dyDescent="0.3">
      <c r="C62" t="s">
        <v>58</v>
      </c>
      <c r="D62">
        <v>481</v>
      </c>
      <c r="E62">
        <v>568</v>
      </c>
      <c r="K62" s="6"/>
      <c r="L62" s="14"/>
    </row>
    <row r="63" spans="1:13" x14ac:dyDescent="0.3">
      <c r="A63" t="str">
        <f t="shared" ref="A63:A70" si="8">_xlfn.CONCAT($K$49,": ",K63)</f>
        <v>General Pool Parameters: Filters</v>
      </c>
      <c r="B63" t="s">
        <v>79</v>
      </c>
      <c r="C63" t="s">
        <v>61</v>
      </c>
      <c r="D63">
        <v>154</v>
      </c>
      <c r="E63">
        <v>597</v>
      </c>
      <c r="F63" t="str" cm="1">
        <f t="array" aca="1" ref="F63" ca="1">_xlfn.CONCAT(_xlfn.TEXTSPLIT(CELL("address",L63),"$"))</f>
        <v>L63</v>
      </c>
      <c r="G63">
        <v>3</v>
      </c>
      <c r="H63" t="s">
        <v>123</v>
      </c>
      <c r="K63" s="5" t="s">
        <v>59</v>
      </c>
      <c r="L63" s="13" t="s">
        <v>64</v>
      </c>
    </row>
    <row r="64" spans="1:13" x14ac:dyDescent="0.3">
      <c r="C64" t="s">
        <v>76</v>
      </c>
      <c r="D64">
        <v>201</v>
      </c>
      <c r="E64">
        <v>597</v>
      </c>
      <c r="K64" s="5"/>
      <c r="L64" s="13"/>
    </row>
    <row r="65" spans="1:12" x14ac:dyDescent="0.3">
      <c r="C65" t="s">
        <v>62</v>
      </c>
      <c r="D65">
        <v>270</v>
      </c>
      <c r="E65">
        <v>597</v>
      </c>
      <c r="K65" s="5"/>
      <c r="L65" s="13"/>
    </row>
    <row r="66" spans="1:12" x14ac:dyDescent="0.3">
      <c r="C66" t="s">
        <v>63</v>
      </c>
      <c r="D66">
        <v>338</v>
      </c>
      <c r="E66">
        <v>597</v>
      </c>
      <c r="K66" s="5"/>
      <c r="L66" s="13"/>
    </row>
    <row r="67" spans="1:12" x14ac:dyDescent="0.3">
      <c r="C67" t="s">
        <v>64</v>
      </c>
      <c r="D67">
        <v>398</v>
      </c>
      <c r="E67">
        <v>597</v>
      </c>
      <c r="K67" s="5"/>
      <c r="L67" s="13"/>
    </row>
    <row r="68" spans="1:12" x14ac:dyDescent="0.3">
      <c r="A68" t="str">
        <f t="shared" si="8"/>
        <v>General Pool Parameters: NSF Approved</v>
      </c>
      <c r="B68" t="s">
        <v>79</v>
      </c>
      <c r="C68" t="s">
        <v>57</v>
      </c>
      <c r="D68">
        <v>537</v>
      </c>
      <c r="E68">
        <v>597</v>
      </c>
      <c r="F68" t="str" cm="1">
        <f t="array" aca="1" ref="F68" ca="1">_xlfn.CONCAT(_xlfn.TEXTSPLIT(CELL("address",L68),"$"))</f>
        <v>L68</v>
      </c>
      <c r="G68">
        <v>3</v>
      </c>
      <c r="H68" t="s">
        <v>123</v>
      </c>
      <c r="K68" s="6" t="s">
        <v>65</v>
      </c>
      <c r="L68" s="14" t="s">
        <v>57</v>
      </c>
    </row>
    <row r="69" spans="1:12" x14ac:dyDescent="0.3">
      <c r="C69" t="s">
        <v>58</v>
      </c>
      <c r="D69">
        <v>567</v>
      </c>
      <c r="E69">
        <v>597</v>
      </c>
      <c r="K69" s="6"/>
      <c r="L69" s="14"/>
    </row>
    <row r="70" spans="1:12" x14ac:dyDescent="0.3">
      <c r="A70" t="str">
        <f t="shared" si="8"/>
        <v>General Pool Parameters: Pressure Gauge Quantity</v>
      </c>
      <c r="B70" t="s">
        <v>78</v>
      </c>
      <c r="F70" t="str" cm="1">
        <f t="array" aca="1" ref="F70" ca="1">_xlfn.CONCAT(_xlfn.TEXTSPLIT(CELL("address",L70),"$"))</f>
        <v>L70</v>
      </c>
      <c r="G70">
        <v>3</v>
      </c>
      <c r="H70" t="s">
        <v>123</v>
      </c>
      <c r="K70" s="5" t="s">
        <v>66</v>
      </c>
      <c r="L70" s="13">
        <v>2</v>
      </c>
    </row>
    <row r="71" spans="1:12" x14ac:dyDescent="0.3">
      <c r="A71" t="str">
        <f>_xlfn.CONCAT($K$49,": ",K71)</f>
        <v>General Pool Parameters: Vacuum Gauge Quantity</v>
      </c>
      <c r="B71" t="s">
        <v>78</v>
      </c>
      <c r="F71" t="str" cm="1">
        <f t="array" aca="1" ref="F71" ca="1">_xlfn.CONCAT(_xlfn.TEXTSPLIT(CELL("address",L71),"$"))</f>
        <v>L71</v>
      </c>
      <c r="G71">
        <v>3</v>
      </c>
      <c r="H71" t="s">
        <v>123</v>
      </c>
      <c r="K71" s="6" t="s">
        <v>67</v>
      </c>
      <c r="L71" s="14">
        <v>2</v>
      </c>
    </row>
    <row r="72" spans="1:12" x14ac:dyDescent="0.3">
      <c r="A72" t="str">
        <f>_xlfn.CONCAT($K$49,": ",K72)</f>
        <v>General Pool Parameters: Temperature Gauge Quantity</v>
      </c>
      <c r="B72" t="s">
        <v>78</v>
      </c>
      <c r="F72" t="str" cm="1">
        <f t="array" aca="1" ref="F72" ca="1">_xlfn.CONCAT(_xlfn.TEXTSPLIT(CELL("address",L72),"$"))</f>
        <v>L72</v>
      </c>
      <c r="G72">
        <v>3</v>
      </c>
      <c r="H72" t="s">
        <v>123</v>
      </c>
      <c r="K72" s="5" t="s">
        <v>68</v>
      </c>
      <c r="L72" s="13">
        <v>1</v>
      </c>
    </row>
    <row r="73" spans="1:12" x14ac:dyDescent="0.3">
      <c r="A73" t="str">
        <f>_xlfn.CONCAT($K$49,": ",K73)</f>
        <v>General Pool Parameters: Disinfection</v>
      </c>
      <c r="B73" t="s">
        <v>79</v>
      </c>
      <c r="C73" t="s">
        <v>70</v>
      </c>
      <c r="F73" t="str" cm="1">
        <f t="array" aca="1" ref="F73" ca="1">_xlfn.CONCAT(_xlfn.TEXTSPLIT(CELL("address",L73),"$"))</f>
        <v>L73</v>
      </c>
      <c r="G73">
        <v>3</v>
      </c>
      <c r="H73" t="s">
        <v>123</v>
      </c>
      <c r="K73" s="6" t="s">
        <v>69</v>
      </c>
      <c r="L73" s="14" t="s">
        <v>70</v>
      </c>
    </row>
    <row r="74" spans="1:12" x14ac:dyDescent="0.3">
      <c r="C74" t="s">
        <v>71</v>
      </c>
      <c r="K74" s="6"/>
      <c r="L74" s="14"/>
    </row>
    <row r="75" spans="1:12" x14ac:dyDescent="0.3">
      <c r="C75" t="s">
        <v>72</v>
      </c>
      <c r="K75" s="6"/>
      <c r="L75" s="14"/>
    </row>
    <row r="76" spans="1:12" x14ac:dyDescent="0.3">
      <c r="C76" t="s">
        <v>73</v>
      </c>
      <c r="K76" s="6"/>
      <c r="L76" s="14"/>
    </row>
    <row r="77" spans="1:12" x14ac:dyDescent="0.3">
      <c r="C77" t="s">
        <v>74</v>
      </c>
      <c r="K77" s="6"/>
      <c r="L77" s="14"/>
    </row>
    <row r="78" spans="1:12" x14ac:dyDescent="0.3">
      <c r="K78" s="18" t="s">
        <v>82</v>
      </c>
      <c r="L78" s="18"/>
    </row>
    <row r="79" spans="1:12" ht="86.4" x14ac:dyDescent="0.3">
      <c r="A79" t="s">
        <v>84</v>
      </c>
      <c r="B79" t="s">
        <v>79</v>
      </c>
      <c r="C79" t="s">
        <v>57</v>
      </c>
      <c r="F79" t="str" cm="1">
        <f t="array" aca="1" ref="F79" ca="1">_xlfn.CONCAT(_xlfn.TEXTSPLIT(CELL("address",L79),"$"))</f>
        <v>L79</v>
      </c>
      <c r="G79">
        <v>4</v>
      </c>
      <c r="K79" s="16" t="s">
        <v>83</v>
      </c>
      <c r="L79" s="13" t="s">
        <v>57</v>
      </c>
    </row>
    <row r="80" spans="1:12" x14ac:dyDescent="0.3">
      <c r="C80" t="s">
        <v>58</v>
      </c>
      <c r="K80" s="5"/>
      <c r="L80" s="13"/>
    </row>
    <row r="81" spans="1:12" x14ac:dyDescent="0.3">
      <c r="C81" t="s">
        <v>85</v>
      </c>
      <c r="K81" s="5"/>
      <c r="L81" s="13"/>
    </row>
    <row r="82" spans="1:12" ht="28.8" x14ac:dyDescent="0.3">
      <c r="A82" t="s">
        <v>86</v>
      </c>
      <c r="B82" t="s">
        <v>79</v>
      </c>
      <c r="C82" t="s">
        <v>57</v>
      </c>
      <c r="F82" t="str" cm="1">
        <f t="array" aca="1" ref="F82" ca="1">_xlfn.CONCAT(_xlfn.TEXTSPLIT(CELL("address",L82),"$"))</f>
        <v>L82</v>
      </c>
      <c r="G82">
        <v>4</v>
      </c>
      <c r="K82" s="17" t="s">
        <v>87</v>
      </c>
      <c r="L82" s="14" t="s">
        <v>57</v>
      </c>
    </row>
    <row r="83" spans="1:12" x14ac:dyDescent="0.3">
      <c r="C83" t="s">
        <v>58</v>
      </c>
      <c r="K83" s="6"/>
      <c r="L83" s="14"/>
    </row>
    <row r="84" spans="1:12" ht="43.2" x14ac:dyDescent="0.3">
      <c r="A84" t="s">
        <v>88</v>
      </c>
      <c r="B84" t="s">
        <v>79</v>
      </c>
      <c r="C84" t="s">
        <v>57</v>
      </c>
      <c r="F84" t="str" cm="1">
        <f t="array" aca="1" ref="F84" ca="1">_xlfn.CONCAT(_xlfn.TEXTSPLIT(CELL("address",L84),"$"))</f>
        <v>L84</v>
      </c>
      <c r="G84">
        <v>4</v>
      </c>
      <c r="K84" s="16" t="s">
        <v>94</v>
      </c>
      <c r="L84" s="13" t="s">
        <v>57</v>
      </c>
    </row>
    <row r="85" spans="1:12" x14ac:dyDescent="0.3">
      <c r="C85" t="s">
        <v>58</v>
      </c>
      <c r="K85" s="5"/>
      <c r="L85" s="13"/>
    </row>
    <row r="86" spans="1:12" ht="57.6" x14ac:dyDescent="0.3">
      <c r="A86" t="s">
        <v>89</v>
      </c>
      <c r="B86" t="s">
        <v>79</v>
      </c>
      <c r="C86" t="s">
        <v>57</v>
      </c>
      <c r="F86" t="str" cm="1">
        <f t="array" aca="1" ref="F86" ca="1">_xlfn.CONCAT(_xlfn.TEXTSPLIT(CELL("address",L86),"$"))</f>
        <v>L86</v>
      </c>
      <c r="G86">
        <v>4</v>
      </c>
      <c r="K86" s="17" t="s">
        <v>95</v>
      </c>
      <c r="L86" s="14" t="s">
        <v>57</v>
      </c>
    </row>
    <row r="87" spans="1:12" x14ac:dyDescent="0.3">
      <c r="C87" t="s">
        <v>58</v>
      </c>
      <c r="K87" s="6"/>
      <c r="L87" s="14"/>
    </row>
    <row r="88" spans="1:12" ht="43.2" x14ac:dyDescent="0.3">
      <c r="A88" t="s">
        <v>90</v>
      </c>
      <c r="B88" t="s">
        <v>79</v>
      </c>
      <c r="C88" t="s">
        <v>57</v>
      </c>
      <c r="F88" t="str" cm="1">
        <f t="array" aca="1" ref="F88" ca="1">_xlfn.CONCAT(_xlfn.TEXTSPLIT(CELL("address",L88),"$"))</f>
        <v>L88</v>
      </c>
      <c r="G88">
        <v>4</v>
      </c>
      <c r="K88" s="16" t="s">
        <v>96</v>
      </c>
      <c r="L88" s="13" t="s">
        <v>57</v>
      </c>
    </row>
    <row r="89" spans="1:12" x14ac:dyDescent="0.3">
      <c r="C89" t="s">
        <v>58</v>
      </c>
      <c r="K89" s="5"/>
      <c r="L89" s="13"/>
    </row>
    <row r="90" spans="1:12" ht="43.2" x14ac:dyDescent="0.3">
      <c r="A90" t="s">
        <v>91</v>
      </c>
      <c r="B90" t="s">
        <v>79</v>
      </c>
      <c r="C90" t="s">
        <v>57</v>
      </c>
      <c r="F90" t="str" cm="1">
        <f t="array" aca="1" ref="F90" ca="1">_xlfn.CONCAT(_xlfn.TEXTSPLIT(CELL("address",L90),"$"))</f>
        <v>L90</v>
      </c>
      <c r="G90">
        <v>4</v>
      </c>
      <c r="K90" s="17" t="s">
        <v>97</v>
      </c>
      <c r="L90" s="14" t="s">
        <v>57</v>
      </c>
    </row>
    <row r="91" spans="1:12" x14ac:dyDescent="0.3">
      <c r="C91" t="s">
        <v>58</v>
      </c>
      <c r="K91" s="6"/>
      <c r="L91" s="14"/>
    </row>
    <row r="92" spans="1:12" ht="57.6" x14ac:dyDescent="0.3">
      <c r="A92" t="s">
        <v>92</v>
      </c>
      <c r="B92" t="s">
        <v>79</v>
      </c>
      <c r="C92" t="s">
        <v>57</v>
      </c>
      <c r="F92" t="str" cm="1">
        <f t="array" aca="1" ref="F92" ca="1">_xlfn.CONCAT(_xlfn.TEXTSPLIT(CELL("address",L92),"$"))</f>
        <v>L92</v>
      </c>
      <c r="G92">
        <v>4</v>
      </c>
      <c r="K92" s="16" t="s">
        <v>98</v>
      </c>
      <c r="L92" s="13" t="s">
        <v>57</v>
      </c>
    </row>
    <row r="93" spans="1:12" x14ac:dyDescent="0.3">
      <c r="C93" t="s">
        <v>58</v>
      </c>
      <c r="K93" s="5"/>
      <c r="L93" s="13"/>
    </row>
    <row r="94" spans="1:12" ht="43.2" x14ac:dyDescent="0.3">
      <c r="A94" t="s">
        <v>93</v>
      </c>
      <c r="B94" t="s">
        <v>79</v>
      </c>
      <c r="C94" t="s">
        <v>57</v>
      </c>
      <c r="F94" t="str" cm="1">
        <f t="array" aca="1" ref="F94" ca="1">_xlfn.CONCAT(_xlfn.TEXTSPLIT(CELL("address",L94),"$"))</f>
        <v>L94</v>
      </c>
      <c r="G94">
        <v>4</v>
      </c>
      <c r="K94" s="17" t="s">
        <v>102</v>
      </c>
      <c r="L94" s="14" t="s">
        <v>57</v>
      </c>
    </row>
    <row r="95" spans="1:12" x14ac:dyDescent="0.3">
      <c r="C95" t="s">
        <v>58</v>
      </c>
      <c r="K95" s="6"/>
      <c r="L95" s="14"/>
    </row>
    <row r="96" spans="1:12" x14ac:dyDescent="0.3">
      <c r="C96" t="s">
        <v>85</v>
      </c>
      <c r="K96" s="6"/>
      <c r="L96" s="14"/>
    </row>
    <row r="97" spans="1:12" ht="57.6" x14ac:dyDescent="0.3">
      <c r="A97" t="s">
        <v>104</v>
      </c>
      <c r="B97" t="s">
        <v>79</v>
      </c>
      <c r="C97" t="s">
        <v>57</v>
      </c>
      <c r="F97" t="str" cm="1">
        <f t="array" aca="1" ref="F97" ca="1">_xlfn.CONCAT(_xlfn.TEXTSPLIT(CELL("address",L97),"$"))</f>
        <v>L97</v>
      </c>
      <c r="G97">
        <v>4</v>
      </c>
      <c r="K97" s="16" t="s">
        <v>103</v>
      </c>
      <c r="L97" s="13" t="s">
        <v>57</v>
      </c>
    </row>
    <row r="98" spans="1:12" x14ac:dyDescent="0.3">
      <c r="C98" t="s">
        <v>58</v>
      </c>
      <c r="K98" s="5"/>
      <c r="L98" s="13"/>
    </row>
    <row r="99" spans="1:12" ht="72" x14ac:dyDescent="0.3">
      <c r="A99" t="s">
        <v>105</v>
      </c>
      <c r="B99" t="s">
        <v>78</v>
      </c>
      <c r="F99" t="str" cm="1">
        <f t="array" aca="1" ref="F99" ca="1">_xlfn.CONCAT(_xlfn.TEXTSPLIT(CELL("address",L99),"$"))</f>
        <v>L99</v>
      </c>
      <c r="G99">
        <v>4</v>
      </c>
      <c r="K99" s="17" t="s">
        <v>106</v>
      </c>
      <c r="L99" s="14"/>
    </row>
    <row r="100" spans="1:12" ht="43.2" x14ac:dyDescent="0.3">
      <c r="A100" t="s">
        <v>99</v>
      </c>
      <c r="C100" t="s">
        <v>57</v>
      </c>
      <c r="F100" t="str" cm="1">
        <f t="array" aca="1" ref="F100" ca="1">_xlfn.CONCAT(_xlfn.TEXTSPLIT(CELL("address",L100),"$"))</f>
        <v>L100</v>
      </c>
      <c r="G100">
        <v>4</v>
      </c>
      <c r="K100" s="16" t="s">
        <v>107</v>
      </c>
      <c r="L100" s="13"/>
    </row>
    <row r="101" spans="1:12" x14ac:dyDescent="0.3">
      <c r="C101" t="s">
        <v>58</v>
      </c>
      <c r="K101" s="5"/>
      <c r="L101" s="13"/>
    </row>
    <row r="102" spans="1:12" ht="28.8" x14ac:dyDescent="0.3">
      <c r="A102" t="s">
        <v>100</v>
      </c>
      <c r="C102" t="s">
        <v>57</v>
      </c>
      <c r="F102" t="str" cm="1">
        <f t="array" aca="1" ref="F102" ca="1">_xlfn.CONCAT(_xlfn.TEXTSPLIT(CELL("address",L102),"$"))</f>
        <v>L102</v>
      </c>
      <c r="G102">
        <v>4</v>
      </c>
      <c r="K102" s="17" t="s">
        <v>108</v>
      </c>
      <c r="L102" s="14"/>
    </row>
    <row r="103" spans="1:12" x14ac:dyDescent="0.3">
      <c r="C103" t="s">
        <v>58</v>
      </c>
      <c r="K103" s="6"/>
      <c r="L103" s="14"/>
    </row>
    <row r="104" spans="1:12" ht="28.8" x14ac:dyDescent="0.3">
      <c r="A104" t="s">
        <v>101</v>
      </c>
      <c r="C104" t="s">
        <v>57</v>
      </c>
      <c r="F104" t="str" cm="1">
        <f t="array" aca="1" ref="F104" ca="1">_xlfn.CONCAT(_xlfn.TEXTSPLIT(CELL("address",L104),"$"))</f>
        <v>L104</v>
      </c>
      <c r="G104">
        <v>4</v>
      </c>
      <c r="K104" s="16" t="s">
        <v>109</v>
      </c>
      <c r="L104" s="13"/>
    </row>
    <row r="105" spans="1:12" x14ac:dyDescent="0.3">
      <c r="C105" t="s">
        <v>58</v>
      </c>
      <c r="K105" s="5"/>
      <c r="L105" s="13"/>
    </row>
    <row r="106" spans="1:12" ht="43.2" x14ac:dyDescent="0.3">
      <c r="A106" t="s">
        <v>110</v>
      </c>
      <c r="C106" t="s">
        <v>57</v>
      </c>
      <c r="F106" t="str" cm="1">
        <f t="array" aca="1" ref="F106" ca="1">_xlfn.CONCAT(_xlfn.TEXTSPLIT(CELL("address",L106),"$"))</f>
        <v>L106</v>
      </c>
      <c r="G106">
        <v>5</v>
      </c>
      <c r="K106" s="17" t="s">
        <v>114</v>
      </c>
      <c r="L106" s="14"/>
    </row>
    <row r="107" spans="1:12" x14ac:dyDescent="0.3">
      <c r="C107" t="s">
        <v>58</v>
      </c>
      <c r="K107" s="6"/>
      <c r="L107" s="14"/>
    </row>
    <row r="108" spans="1:12" ht="43.2" x14ac:dyDescent="0.3">
      <c r="A108" t="s">
        <v>111</v>
      </c>
      <c r="C108" t="s">
        <v>57</v>
      </c>
      <c r="F108" t="str" cm="1">
        <f t="array" aca="1" ref="F108" ca="1">_xlfn.CONCAT(_xlfn.TEXTSPLIT(CELL("address",L108),"$"))</f>
        <v>L108</v>
      </c>
      <c r="G108">
        <v>5</v>
      </c>
      <c r="K108" s="16" t="s">
        <v>115</v>
      </c>
      <c r="L108" s="13"/>
    </row>
    <row r="109" spans="1:12" x14ac:dyDescent="0.3">
      <c r="C109" t="s">
        <v>58</v>
      </c>
      <c r="K109" s="5"/>
      <c r="L109" s="13"/>
    </row>
    <row r="110" spans="1:12" x14ac:dyDescent="0.3">
      <c r="C110" t="s">
        <v>85</v>
      </c>
      <c r="K110" s="5"/>
      <c r="L110" s="13"/>
    </row>
    <row r="111" spans="1:12" x14ac:dyDescent="0.3">
      <c r="A111" t="s">
        <v>112</v>
      </c>
      <c r="K111" s="6"/>
      <c r="L111" s="14"/>
    </row>
    <row r="112" spans="1:12" x14ac:dyDescent="0.3">
      <c r="K112" s="5"/>
      <c r="L112" s="13"/>
    </row>
    <row r="113" spans="1:12" x14ac:dyDescent="0.3">
      <c r="A113" t="s">
        <v>113</v>
      </c>
      <c r="K113" s="6"/>
      <c r="L113" s="14"/>
    </row>
    <row r="114" spans="1:12" x14ac:dyDescent="0.3">
      <c r="K114" s="5"/>
      <c r="L114" s="13"/>
    </row>
    <row r="115" spans="1:12" x14ac:dyDescent="0.3">
      <c r="K115" s="6"/>
      <c r="L115" s="14"/>
    </row>
    <row r="116" spans="1:12" x14ac:dyDescent="0.3">
      <c r="K116" s="5"/>
      <c r="L116" s="13"/>
    </row>
    <row r="117" spans="1:12" x14ac:dyDescent="0.3">
      <c r="K117" s="6"/>
      <c r="L117" s="14"/>
    </row>
    <row r="118" spans="1:12" x14ac:dyDescent="0.3">
      <c r="K118" s="5"/>
      <c r="L118" s="13"/>
    </row>
    <row r="119" spans="1:12" x14ac:dyDescent="0.3">
      <c r="K119" s="6"/>
      <c r="L119" s="14"/>
    </row>
    <row r="120" spans="1:12" x14ac:dyDescent="0.3">
      <c r="K120" s="18" t="s">
        <v>116</v>
      </c>
      <c r="L120" s="18"/>
    </row>
  </sheetData>
  <mergeCells count="10">
    <mergeCell ref="K78:L78"/>
    <mergeCell ref="K120:L120"/>
    <mergeCell ref="K49:L49"/>
    <mergeCell ref="K36:L36"/>
    <mergeCell ref="K41:L41"/>
    <mergeCell ref="K1:L1"/>
    <mergeCell ref="K10:L10"/>
    <mergeCell ref="K15:L15"/>
    <mergeCell ref="K26:L26"/>
    <mergeCell ref="K20:L20"/>
  </mergeCells>
  <phoneticPr fontId="5" type="noConversion"/>
  <conditionalFormatting sqref="C3 C5">
    <cfRule type="expression" dxfId="7" priority="1">
      <formula>ISBLANK(C3)</formula>
    </cfRule>
  </conditionalFormatting>
  <conditionalFormatting sqref="C7 C9 C11 C13 C15 C17 C19 C21:C22 C25 C27 C29 C31 C33 C35 C37 C39 C41 C43 C45 C47 C49 C51 C53 C55 C57 C59 C61 C69 C71 C73 C75 C77">
    <cfRule type="expression" dxfId="6" priority="12">
      <formula>ISBLANK(C7)</formula>
    </cfRule>
  </conditionalFormatting>
  <conditionalFormatting sqref="C8 C10 C12 C14 C16 C18 C20 C23:C24 C26 C28 C30 C32 C34 C36 C38 C40 C42 C44 C46 C48 C50 C52 C54 C56 C58 C60 C62 C68 C70 C72 C74 C76 C78:C79">
    <cfRule type="expression" dxfId="5" priority="7">
      <formula>ISBLANK(C8)</formula>
    </cfRule>
  </conditionalFormatting>
  <conditionalFormatting sqref="C80:C81">
    <cfRule type="expression" dxfId="4" priority="4">
      <formula>ISBLANK(C80)</formula>
    </cfRule>
  </conditionalFormatting>
  <conditionalFormatting sqref="C82">
    <cfRule type="expression" dxfId="3" priority="3">
      <formula>ISBLANK(C82)</formula>
    </cfRule>
  </conditionalFormatting>
  <conditionalFormatting sqref="C83">
    <cfRule type="expression" dxfId="2" priority="2">
      <formula>ISBLANK(C83)</formula>
    </cfRule>
  </conditionalFormatting>
  <conditionalFormatting sqref="C84 C86 C88 C90 C92 C94 C96 C98:C99 C101 C103 C105 C107 C109 C111 C113 C115 C117 C119">
    <cfRule type="expression" dxfId="1" priority="5">
      <formula>ISBLANK(C84)</formula>
    </cfRule>
  </conditionalFormatting>
  <conditionalFormatting sqref="C85 C87 C89 C91 C93 C95 C97 C100 C102 C104 C106 C108 C110 C112 C114 C116 C118">
    <cfRule type="expression" dxfId="0" priority="6">
      <formula>ISBLANK(C85)</formula>
    </cfRule>
  </conditionalFormatting>
  <dataValidations count="16">
    <dataValidation type="list" allowBlank="1" showInputMessage="1" showErrorMessage="1" sqref="L2" xr:uid="{DBDA0B2E-73C7-461D-9A78-8C9C0FC3C8EE}">
      <formula1>$C$2:$C$6</formula1>
    </dataValidation>
    <dataValidation type="list" allowBlank="1" showInputMessage="1" showErrorMessage="1" sqref="L29" xr:uid="{2A4FBB3A-AF25-40CF-A7C5-68C363A144AC}">
      <formula1>$F$29:$F$33</formula1>
    </dataValidation>
    <dataValidation type="list" allowBlank="1" showInputMessage="1" showErrorMessage="1" sqref="L34" xr:uid="{4F3AB38D-0522-46BE-8207-6886168C0716}">
      <formula1>$F$34:$F$35</formula1>
    </dataValidation>
    <dataValidation type="list" allowBlank="1" showInputMessage="1" showErrorMessage="1" sqref="L43" xr:uid="{C7C9BACE-9E87-4F51-B7AA-AF028398DF42}">
      <formula1>$C$43:$C$44</formula1>
    </dataValidation>
    <dataValidation type="list" allowBlank="1" showInputMessage="1" showErrorMessage="1" sqref="L61" xr:uid="{3E2DD406-56CF-445C-BD6B-86CB8C7B00BA}">
      <formula1>$C$61:$C$62</formula1>
    </dataValidation>
    <dataValidation type="list" allowBlank="1" showInputMessage="1" showErrorMessage="1" sqref="L68" xr:uid="{2281ACFD-B768-49F6-AC73-6654DDA39B30}">
      <formula1>$C$68:$C$69</formula1>
    </dataValidation>
    <dataValidation type="list" allowBlank="1" showInputMessage="1" showErrorMessage="1" sqref="L63" xr:uid="{8C1D64B0-BEF7-4B52-B632-2C0C338A42F7}">
      <formula1>$C$63:$C$67</formula1>
    </dataValidation>
    <dataValidation type="list" allowBlank="1" showInputMessage="1" showErrorMessage="1" sqref="L79" xr:uid="{6C1903ED-8B8C-48BC-919C-F2058E6A8659}">
      <formula1>$C$79:$C$81</formula1>
    </dataValidation>
    <dataValidation type="list" allowBlank="1" showInputMessage="1" showErrorMessage="1" sqref="L82" xr:uid="{ACFB3B64-C620-4E47-92D2-33CF0053623A}">
      <formula1>$C$82:$C$83</formula1>
    </dataValidation>
    <dataValidation type="list" allowBlank="1" showInputMessage="1" showErrorMessage="1" sqref="L84" xr:uid="{5EDB7A92-9ABD-414D-853E-147436B3DF5B}">
      <formula1>$C$84:$C$85</formula1>
    </dataValidation>
    <dataValidation type="list" allowBlank="1" showInputMessage="1" showErrorMessage="1" sqref="L86" xr:uid="{F4A03EBA-03ED-4032-A0D1-343727C4795F}">
      <formula1>$C$86:$C$87</formula1>
    </dataValidation>
    <dataValidation type="list" allowBlank="1" showInputMessage="1" showErrorMessage="1" sqref="L88" xr:uid="{E8E2CD95-F50E-4FF7-ABC6-86296DBBA686}">
      <formula1>$C$88:$C$89</formula1>
    </dataValidation>
    <dataValidation type="list" allowBlank="1" showInputMessage="1" showErrorMessage="1" sqref="L90" xr:uid="{0B1BA240-F98F-432F-848E-5BB4A2491089}">
      <formula1>$C$90:$C$91</formula1>
    </dataValidation>
    <dataValidation type="list" allowBlank="1" showInputMessage="1" showErrorMessage="1" sqref="L92" xr:uid="{BA661406-18B5-499D-805E-2915FA9F0DF9}">
      <formula1>$C$92:$C$93</formula1>
    </dataValidation>
    <dataValidation type="list" allowBlank="1" showInputMessage="1" showErrorMessage="1" sqref="L94" xr:uid="{9F5640E1-D879-422F-A55D-D83374471FF5}">
      <formula1>$C$94:$C$96</formula1>
    </dataValidation>
    <dataValidation type="list" allowBlank="1" showInputMessage="1" showErrorMessage="1" sqref="L97" xr:uid="{2BC6887D-D646-42E9-A274-3D9790A1E66B}">
      <formula1>$C$97:$C$98</formula1>
    </dataValidation>
  </dataValidations>
  <hyperlinks>
    <hyperlink ref="L19" r:id="rId1" xr:uid="{F23C4D8F-D3A5-41F8-8768-957B6ED66387}"/>
    <hyperlink ref="L40" r:id="rId2" xr:uid="{7C1EE75F-8A56-4E1F-8F6D-E3D927261E7F}"/>
    <hyperlink ref="L47" r:id="rId3" display="random@icould.com" xr:uid="{0D1B7BBF-15B3-4CFC-9039-2B5392E32994}"/>
  </hyperlinks>
  <pageMargins left="0.7" right="0.7" top="0.75" bottom="0.75" header="0.3" footer="0.3"/>
  <pageSetup orientation="portrait" horizontalDpi="300" verticalDpi="300" r:id="rId4"/>
  <extLst>
    <ext xmlns:x14="http://schemas.microsoft.com/office/spreadsheetml/2009/9/main" uri="{CCE6A557-97BC-4b89-ADB6-D9C93CAAB3DF}">
      <x14:dataValidations xmlns:xm="http://schemas.microsoft.com/office/excel/2006/main" count="7">
        <x14:dataValidation type="list" allowBlank="1" showInputMessage="1" showErrorMessage="1" xr:uid="{E16A27BC-15E6-475F-BB89-94A0C07741A8}">
          <x14:formula1>
            <xm:f>Backend!$B$2:$B$6</xm:f>
          </x14:formula1>
          <xm:sqref>L30:L33</xm:sqref>
        </x14:dataValidation>
        <x14:dataValidation type="list" allowBlank="1" showInputMessage="1" showErrorMessage="1" xr:uid="{B3132453-0252-43A7-BEC0-13862065EF0E}">
          <x14:formula1>
            <xm:f>Backend!$C$2:$C$3</xm:f>
          </x14:formula1>
          <xm:sqref>L35</xm:sqref>
        </x14:dataValidation>
        <x14:dataValidation type="list" allowBlank="1" showInputMessage="1" showErrorMessage="1" xr:uid="{30E8FBE2-C2FC-4B6D-9F98-1AD125B8C425}">
          <x14:formula1>
            <xm:f>Backend!$E$2:$E$3</xm:f>
          </x14:formula1>
          <xm:sqref>L44</xm:sqref>
        </x14:dataValidation>
        <x14:dataValidation type="list" allowBlank="1" showInputMessage="1" showErrorMessage="1" xr:uid="{D7F0EB7B-BBFF-45D3-B222-8DBEA2A4E2AA}">
          <x14:formula1>
            <xm:f>Backend!$F$2:$F$3</xm:f>
          </x14:formula1>
          <xm:sqref>L62 L69</xm:sqref>
        </x14:dataValidation>
        <x14:dataValidation type="list" allowBlank="1" showInputMessage="1" showErrorMessage="1" xr:uid="{85EB1F5D-2C0D-4619-81F3-F49B63FA8937}">
          <x14:formula1>
            <xm:f>Backend!$G$2:$G$6</xm:f>
          </x14:formula1>
          <xm:sqref>L64:L67</xm:sqref>
        </x14:dataValidation>
        <x14:dataValidation type="list" allowBlank="1" showInputMessage="1" showErrorMessage="1" xr:uid="{3BF7E381-8828-457B-A727-E2C5CC93B0AF}">
          <x14:formula1>
            <xm:f>Backend!$H$2:$H$6</xm:f>
          </x14:formula1>
          <xm:sqref>L73:L77</xm:sqref>
        </x14:dataValidation>
        <x14:dataValidation type="list" allowBlank="1" showInputMessage="1" showErrorMessage="1" xr:uid="{F3641AE7-F3E1-4130-BA9D-61DF5A2A44B2}">
          <x14:formula1>
            <xm:f>Backend!$I$2:$I$3</xm:f>
          </x14:formula1>
          <xm:sqref>B99 B78:B79 B82 B84 B86 B88 B90 B92 B94 B97 B2:B73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80A74-45BA-42EE-9251-9C730233F3C6}">
  <sheetPr codeName="Sheet2"/>
  <dimension ref="A1:I1"/>
  <sheetViews>
    <sheetView workbookViewId="0">
      <selection activeCell="K11" sqref="G1:K11"/>
    </sheetView>
  </sheetViews>
  <sheetFormatPr defaultRowHeight="14.4" x14ac:dyDescent="0.3"/>
  <cols>
    <col min="1" max="1" width="17.5546875" bestFit="1" customWidth="1"/>
    <col min="2" max="2" width="16.109375" bestFit="1" customWidth="1"/>
    <col min="3" max="3" width="15.33203125" bestFit="1" customWidth="1"/>
    <col min="4" max="4" width="15.88671875" bestFit="1" customWidth="1"/>
    <col min="5" max="5" width="23.44140625" bestFit="1" customWidth="1"/>
    <col min="7" max="7" width="21.109375" customWidth="1"/>
    <col min="8" max="8" width="18" bestFit="1" customWidth="1"/>
    <col min="9" max="9" width="20.5546875" bestFit="1" customWidth="1"/>
  </cols>
  <sheetData>
    <row r="1" spans="1:9" x14ac:dyDescent="0.3">
      <c r="A1" s="1"/>
      <c r="B1" s="1"/>
      <c r="C1" s="1"/>
      <c r="D1" s="1"/>
      <c r="E1" s="1"/>
      <c r="F1" s="1"/>
      <c r="G1" s="1"/>
      <c r="H1" s="1"/>
      <c r="I1" s="1"/>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Pool Data For Export</vt:lpstr>
      <vt:lpstr>Backend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Bennett Steers</dc:creator>
  <cp:lastModifiedBy>Bennett Steers</cp:lastModifiedBy>
  <dcterms:created xsi:type="dcterms:W3CDTF">2015-06-05T18:17:20Z</dcterms:created>
  <dcterms:modified xsi:type="dcterms:W3CDTF">2025-10-28T05:56:36Z</dcterms:modified>
</cp:coreProperties>
</file>