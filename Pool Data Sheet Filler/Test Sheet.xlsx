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mc:AlternateContent xmlns:mc="http://schemas.openxmlformats.org/markup-compatibility/2006">
    <mc:Choice Requires="x15">
      <x15ac:absPath xmlns:x15ac="http://schemas.microsoft.com/office/spreadsheetml/2010/11/ac" url="C:\Users\bennettsteers\Downloads\"/>
    </mc:Choice>
  </mc:AlternateContent>
  <xr:revisionPtr revIDLastSave="0" documentId="13_ncr:1_{982DF374-2076-484E-B331-3E3AFD08F53D}" xr6:coauthVersionLast="47" xr6:coauthVersionMax="47" xr10:uidLastSave="{00000000-0000-0000-0000-000000000000}"/>
  <bookViews>
    <workbookView xWindow="-120" yWindow="-120" windowWidth="38640" windowHeight="21120" xr2:uid="{00000000-000D-0000-FFFF-FFFF00000000}"/>
  </bookViews>
  <sheets>
    <sheet name="Pool Data For Export" sheetId="1" r:id="rId1"/>
    <sheet name="Backend" sheetId="3" r:id="rId2"/>
  </sheets>
  <definedNames>
    <definedName name="_xlnm._FilterDatabase" localSheetId="0" hidden="1">'Pool Data For Export'!$K$82:$L$82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1" l="1"/>
  <c r="A2" i="1" l="1"/>
  <c r="F7" i="1" a="1"/>
  <c r="F7" i="1" s="1"/>
  <c r="F8" i="1" a="1"/>
  <c r="F8" i="1" s="1"/>
  <c r="F9" i="1" a="1"/>
  <c r="F9" i="1" s="1"/>
  <c r="F11" i="1" a="1"/>
  <c r="F11" i="1" s="1"/>
  <c r="F12" i="1" a="1"/>
  <c r="F12" i="1" s="1"/>
  <c r="F13" i="1" a="1"/>
  <c r="F13" i="1" s="1"/>
  <c r="F14" i="1" a="1"/>
  <c r="F14" i="1" s="1"/>
  <c r="F16" i="1" a="1"/>
  <c r="F16" i="1" s="1"/>
  <c r="F17" i="1" a="1"/>
  <c r="F17" i="1" s="1"/>
  <c r="F18" i="1" a="1"/>
  <c r="F18" i="1" s="1"/>
  <c r="F19" i="1" a="1"/>
  <c r="F19" i="1" s="1"/>
  <c r="F21" i="1" a="1"/>
  <c r="F21" i="1" s="1"/>
  <c r="F23" i="1" a="1"/>
  <c r="F23" i="1" s="1"/>
  <c r="F25" i="1" a="1"/>
  <c r="F25" i="1" s="1"/>
  <c r="F27" i="1" a="1"/>
  <c r="F27" i="1" s="1"/>
  <c r="F28" i="1" a="1"/>
  <c r="F28" i="1" s="1"/>
  <c r="F29" i="1" a="1"/>
  <c r="F29" i="1" s="1"/>
  <c r="F34" i="1" a="1"/>
  <c r="F34" i="1" s="1"/>
  <c r="F37" i="1" a="1"/>
  <c r="F37" i="1" s="1"/>
  <c r="F38" i="1" a="1"/>
  <c r="F38" i="1" s="1"/>
  <c r="F39" i="1" a="1"/>
  <c r="F39" i="1" s="1"/>
  <c r="F40" i="1" a="1"/>
  <c r="F40" i="1" s="1"/>
  <c r="F42" i="1" a="1"/>
  <c r="F42" i="1" s="1"/>
  <c r="F43" i="1" a="1"/>
  <c r="F43" i="1" s="1"/>
  <c r="F45" i="1" a="1"/>
  <c r="F45" i="1" s="1"/>
  <c r="F46" i="1" a="1"/>
  <c r="F46" i="1" s="1"/>
  <c r="F47" i="1" a="1"/>
  <c r="F47" i="1" s="1"/>
  <c r="F48" i="1" a="1"/>
  <c r="F48" i="1" s="1"/>
  <c r="F50" i="1" a="1"/>
  <c r="F50" i="1" s="1"/>
  <c r="F51" i="1" a="1"/>
  <c r="F51" i="1" s="1"/>
  <c r="F52" i="1" a="1"/>
  <c r="F52" i="1" s="1"/>
  <c r="F53" i="1" a="1"/>
  <c r="F53" i="1" s="1"/>
  <c r="F54" i="1" a="1"/>
  <c r="F54" i="1" s="1"/>
  <c r="F55" i="1" a="1"/>
  <c r="F55" i="1" s="1"/>
  <c r="F56" i="1" a="1"/>
  <c r="F56" i="1" s="1"/>
  <c r="F57" i="1" a="1"/>
  <c r="F57" i="1" s="1"/>
  <c r="F58" i="1" a="1"/>
  <c r="F58" i="1" s="1"/>
  <c r="F59" i="1" a="1"/>
  <c r="F59" i="1" s="1"/>
  <c r="F60" i="1" a="1"/>
  <c r="F60" i="1" s="1"/>
  <c r="F61" i="1" a="1"/>
  <c r="F61" i="1" s="1"/>
  <c r="F63" i="1" a="1"/>
  <c r="F63" i="1" s="1"/>
  <c r="F68" i="1" a="1"/>
  <c r="F68" i="1" s="1"/>
  <c r="F70" i="1" a="1"/>
  <c r="F70" i="1" s="1"/>
  <c r="F71" i="1" a="1"/>
  <c r="F71" i="1" s="1"/>
  <c r="F72" i="1" a="1"/>
  <c r="F72" i="1" s="1"/>
  <c r="F73" i="1" a="1"/>
  <c r="F73" i="1" s="1"/>
  <c r="F79" i="1" a="1"/>
  <c r="F79" i="1" s="1"/>
  <c r="F82" i="1" a="1"/>
  <c r="F82" i="1" s="1"/>
  <c r="F84" i="1" a="1"/>
  <c r="F84" i="1" s="1"/>
  <c r="F86" i="1" a="1"/>
  <c r="F86" i="1" s="1"/>
  <c r="F88" i="1" a="1"/>
  <c r="F88" i="1" s="1"/>
  <c r="F90" i="1" a="1"/>
  <c r="F90" i="1" s="1"/>
  <c r="F92" i="1" a="1"/>
  <c r="F92" i="1" s="1"/>
  <c r="F94" i="1" a="1"/>
  <c r="F94" i="1" s="1"/>
  <c r="F97" i="1" a="1"/>
  <c r="F97" i="1" s="1"/>
  <c r="F99" i="1" a="1"/>
  <c r="F99" i="1" s="1"/>
  <c r="F100" i="1" a="1"/>
  <c r="F100" i="1" s="1"/>
  <c r="F102" i="1" a="1"/>
  <c r="F102" i="1" s="1"/>
  <c r="F104" i="1" a="1"/>
  <c r="F104" i="1" s="1"/>
  <c r="F106" i="1" a="1"/>
  <c r="F106" i="1" s="1"/>
  <c r="F108" i="1" a="1"/>
  <c r="F108" i="1" s="1"/>
  <c r="A71" i="1" l="1"/>
  <c r="A72" i="1"/>
  <c r="A29" i="1"/>
  <c r="A28" i="1"/>
  <c r="A27" i="1"/>
  <c r="A25" i="1"/>
  <c r="A23" i="1"/>
  <c r="A21" i="1"/>
  <c r="A19" i="1"/>
  <c r="A18" i="1"/>
  <c r="A17" i="1"/>
  <c r="A16" i="1"/>
  <c r="A14" i="1"/>
  <c r="A13" i="1"/>
  <c r="A12" i="1"/>
  <c r="A11" i="1"/>
  <c r="A9" i="1"/>
  <c r="A8" i="1"/>
  <c r="A7" i="1"/>
  <c r="A34" i="1"/>
  <c r="A40" i="1"/>
  <c r="A39" i="1"/>
  <c r="A38" i="1"/>
  <c r="A37" i="1"/>
  <c r="A48" i="1"/>
  <c r="A47" i="1"/>
  <c r="A46" i="1"/>
  <c r="A45" i="1"/>
  <c r="A43" i="1"/>
  <c r="A42" i="1"/>
  <c r="A73" i="1"/>
  <c r="A70" i="1"/>
  <c r="A68" i="1"/>
  <c r="A63" i="1"/>
  <c r="A61" i="1"/>
  <c r="A60" i="1"/>
  <c r="A59" i="1"/>
  <c r="A58" i="1"/>
  <c r="A57" i="1"/>
  <c r="A56" i="1"/>
  <c r="A55" i="1"/>
  <c r="A54" i="1"/>
  <c r="A53" i="1"/>
  <c r="A52" i="1"/>
  <c r="A51" i="1"/>
  <c r="A50" i="1"/>
  <c r="L59" i="1"/>
  <c r="L42" i="1"/>
  <c r="L23" i="1"/>
  <c r="L2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<sst xmlns="http://schemas.openxmlformats.org/spreadsheetml/2006/main" count="326" uniqueCount="123">
  <si>
    <t>Fraser</t>
  </si>
  <si>
    <t>Interior</t>
  </si>
  <si>
    <t>Island</t>
  </si>
  <si>
    <t>Northern</t>
  </si>
  <si>
    <t>Coastal</t>
  </si>
  <si>
    <t>Name</t>
  </si>
  <si>
    <t>Application To:</t>
  </si>
  <si>
    <t>Name of Pool</t>
  </si>
  <si>
    <t>Date</t>
  </si>
  <si>
    <t>Street Adress</t>
  </si>
  <si>
    <t>Address</t>
  </si>
  <si>
    <t>Phone Number</t>
  </si>
  <si>
    <t>Email</t>
  </si>
  <si>
    <t>General Information</t>
  </si>
  <si>
    <t>Name of Pool:</t>
  </si>
  <si>
    <t>Civic Address:</t>
  </si>
  <si>
    <t>Pool Type:</t>
  </si>
  <si>
    <t>Indoor/Outdoor</t>
  </si>
  <si>
    <t>Public Pool</t>
  </si>
  <si>
    <t>Commercial Pool</t>
  </si>
  <si>
    <t>Hot Tub</t>
  </si>
  <si>
    <t>Spray Pool</t>
  </si>
  <si>
    <t>Wading Pool</t>
  </si>
  <si>
    <t>Indoor</t>
  </si>
  <si>
    <t>Outdoor</t>
  </si>
  <si>
    <t>Health Authority</t>
  </si>
  <si>
    <t>Owner's Confirmation of Commitment</t>
  </si>
  <si>
    <t>Owner Name</t>
  </si>
  <si>
    <t>Notes</t>
  </si>
  <si>
    <t>Contact Information: Owner or Agent</t>
  </si>
  <si>
    <t>Contact Information: Person Applying for Construction Permit</t>
  </si>
  <si>
    <t>Normally Filled out by owner, can be left blank</t>
  </si>
  <si>
    <t>Owner Information</t>
  </si>
  <si>
    <t>Designer Information (Append additional information for multiple designers)</t>
  </si>
  <si>
    <t>Company (Legal Corporate)</t>
  </si>
  <si>
    <t>Professional Designation</t>
  </si>
  <si>
    <t>PEng</t>
  </si>
  <si>
    <t>General Pool Parameters</t>
  </si>
  <si>
    <t>Pool Volume: (m^3)</t>
  </si>
  <si>
    <t>Turnover: (hours)</t>
  </si>
  <si>
    <t>Design Re-circulation Flow Rate: (L/sec)</t>
  </si>
  <si>
    <t>Pool Area (m^2)</t>
  </si>
  <si>
    <t>Deck Area (m^2)</t>
  </si>
  <si>
    <t>Minimum Water Depth</t>
  </si>
  <si>
    <t>Maximum Water Depth</t>
  </si>
  <si>
    <t>Shallow Bathing Load</t>
  </si>
  <si>
    <t>Deep Bathing Load</t>
  </si>
  <si>
    <t>Total Bathing Load</t>
  </si>
  <si>
    <t>Pool Basin Color</t>
  </si>
  <si>
    <t>Complies with Pool Regulations</t>
  </si>
  <si>
    <t>Yes</t>
  </si>
  <si>
    <t>No</t>
  </si>
  <si>
    <t>Filters</t>
  </si>
  <si>
    <t>Modify Cell to exclude ramps</t>
  </si>
  <si>
    <t>Sand</t>
  </si>
  <si>
    <t>Pressure</t>
  </si>
  <si>
    <t>Vacuum</t>
  </si>
  <si>
    <t>Gravity</t>
  </si>
  <si>
    <t>NSF Approved</t>
  </si>
  <si>
    <t>Pressure Gauge Quantity</t>
  </si>
  <si>
    <t>Vacuum Gauge Quantity</t>
  </si>
  <si>
    <t>Temperature Gauge Quantity</t>
  </si>
  <si>
    <t>Disinfection</t>
  </si>
  <si>
    <t>Hypochlorite</t>
  </si>
  <si>
    <t>Chlorine Gas</t>
  </si>
  <si>
    <t>Stabilized Chlorine</t>
  </si>
  <si>
    <t>Bromine</t>
  </si>
  <si>
    <t>Other</t>
  </si>
  <si>
    <t>Blue</t>
  </si>
  <si>
    <t>D.E.</t>
  </si>
  <si>
    <t>type</t>
  </si>
  <si>
    <t>string</t>
  </si>
  <si>
    <t>multiChoiceCheckbox</t>
  </si>
  <si>
    <t>multi choice options</t>
  </si>
  <si>
    <t>Arch</t>
  </si>
  <si>
    <t>Health Hazard Related Design Parameter</t>
  </si>
  <si>
    <t>The plans include a fence or other barrier around the pool and its walkways with controlled access to prevent access by animals and persons who are not pool patrons. This provision does not apply to spray pools or wading pools that are planned to be drained before dark and left empty overnight. PR s.(7)</t>
  </si>
  <si>
    <t>Health Hazard Related Design Parameter: Box 1</t>
  </si>
  <si>
    <t>N/A</t>
  </si>
  <si>
    <t>Health Hazard Related Design Parameter: Box 2</t>
  </si>
  <si>
    <t>The pool design provides for the pool water to be maintained at a temperature of no more than 37°C. PR s.10(2)(b)</t>
  </si>
  <si>
    <t>Health Hazard Related Design Parameter: Box 3</t>
  </si>
  <si>
    <t>Health Hazard Related Design Parameter: Box 4</t>
  </si>
  <si>
    <t>Health Hazard Related Design Parameter: Box 5</t>
  </si>
  <si>
    <t>Health Hazard Related Design Parameter: Box 6</t>
  </si>
  <si>
    <t>Health Hazard Related Design Parameter: Box 7</t>
  </si>
  <si>
    <t>Health Hazard Related Design Parameter: Box 8</t>
  </si>
  <si>
    <t>Disinfection equipment is designed to be capable of maintaining disinfection levels in accordance with the Pool Regulation PR s.10(2)(f) &amp; s.10(2)(g) &amp; Schedule 3, s.1(2)</t>
  </si>
  <si>
    <t>The pool circulation system is designed so that pool water will not pass through any drain grate at a speed greater than 46 cm per second when the pool is operating at the design flow rate. PR s.10(2)(k) or waiver obtained under s.10(3)</t>
  </si>
  <si>
    <t>The pool design allows for water to be circulated through the skimmers or gutters at a rate of flow at least equal to 50% of the design flow rate. PR s.10(2)(j)</t>
  </si>
  <si>
    <t>The pool circulation system is designed so the water circulation rate (pool turnover) will substantially comply with the GSPD. GSPD – General Circulation Requirements</t>
  </si>
  <si>
    <t>The pool design substantially complies with the Pool Regulation and the GSPD for the prevention of entrapment or suction hazards. PR s.10(2)(k) or waiver obtained under s.10(3); GSPD – Suction Entrapment Hazards</t>
  </si>
  <si>
    <t>Health Hazard Related Design Parameter: Box 10</t>
  </si>
  <si>
    <t>Health Hazard Related Design Parameter: Box 11</t>
  </si>
  <si>
    <t>Health Hazard Related Design Parameter: Box 12</t>
  </si>
  <si>
    <t>The pool design allows for sufficient lighting so that all areas are visible to pool patrons, lifeguards, and operators. PR s.11(2)(a) ; GSPD - Lighting</t>
  </si>
  <si>
    <t>All pool aprons, walkways and floors have a surface that is slip-resistant when wet, and slopes away from the pool such that, when the aprons, walkways and floors are wet, water does not accumulate or flow back into the pool PR s.11(2)(c)</t>
  </si>
  <si>
    <t>Health Hazard Related Design Parameter: Box 9A</t>
  </si>
  <si>
    <t>Health Hazard Related Design Parameter: Box 9B</t>
  </si>
  <si>
    <t>The friction coefficient of tiled surfaces specified for installation in and around the pool is ________ (static/dynamic), and will meet best practice guidelines referenced in the GSPD with respect to being non-slip when wet. GSPD – Surfaces and other Deck Considerations</t>
  </si>
  <si>
    <t>The design requires that the nose of any step or ledge in the pool is marked in a contrasting colour to the remainder of the step or ledge PR s.11(2)d</t>
  </si>
  <si>
    <t>The design provides for secure handrails at steps, ladders and diving boards. PR s.11(2)(e)</t>
  </si>
  <si>
    <t>The design includes pool depth markings in accordance with the requirement of the Pool Regulation PR s.11(2)(f)</t>
  </si>
  <si>
    <t>Health Hazard Related Design Parameter: Box 13</t>
  </si>
  <si>
    <t>Health Hazard Related Design Parameter: Box 14</t>
  </si>
  <si>
    <t>Health Hazard Related Design Parameter: Box 15</t>
  </si>
  <si>
    <t>Health Hazard Related Design Parameter: Box 16</t>
  </si>
  <si>
    <t>The design includes controls that will allow for regulating hot water temperature in pool facilities to no more than 49o  Y  N C. PR s.11(2)(g)</t>
  </si>
  <si>
    <t>The pool design provides for, where applicable, hot tub water to be maintained at a temperature of no more than 40°C. PR s.16(b)</t>
  </si>
  <si>
    <t>Vancouver Coastal Health Supplemental Data Sheet</t>
  </si>
  <si>
    <t>X insertion coordinate</t>
  </si>
  <si>
    <t>Y insertion coordinate</t>
  </si>
  <si>
    <t>Cell Reference</t>
  </si>
  <si>
    <t>name</t>
  </si>
  <si>
    <t>Document Page</t>
  </si>
  <si>
    <t>coordinate units</t>
  </si>
  <si>
    <t>points</t>
  </si>
  <si>
    <t>Override name</t>
  </si>
  <si>
    <t>Override value</t>
  </si>
  <si>
    <t>text x offset</t>
  </si>
  <si>
    <t>text y offset</t>
  </si>
  <si>
    <t>L7</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</si>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</sst>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theme="0"/>
      <name val="Calibri"/>
      <family val="2"/>
      <scheme val="minor"/>
    </font>
    <font>
      <sz val="11"/>
      <color theme="1"/>
      <name val="Calibri"/>
      <family val="2"/>
      <scheme val="minor"/>
    </font>
    <font>
      <b/>
      <sz val="11"/>
      <color theme="0"/>
      <name val="Calibri"/>
      <family val="2"/>
      <scheme val="minor"/>
    </font>
    <font>
      <sz val="8"/>
      <name val="Calibri"/>
      <family val="2"/>
      <scheme val="minor"/>
    </font>
    <font>
      <u/>
      <sz val="11"/>
      <color theme="10"/>
      <name val="Calibri"/>
      <family val="2"/>
      <scheme val="minor"/>
    </font>
  </fonts>
  <fills count="9">
    <fill>
      <patternFill patternType="none"/>
    </fill>
    <fill>
      <patternFill patternType="gray125"/>
    </fill>
    <fill>
      <patternFill patternType="solid">
        <fgColor theme="9"/>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8" tint="0.59999389629810485"/>
        <bgColor indexed="65"/>
      </patternFill>
    </fill>
    <fill>
      <patternFill patternType="solid">
        <fgColor rgb="FFFFFFCC"/>
      </patternFill>
    </fill>
    <fill>
      <patternFill patternType="solid">
        <fgColor theme="9" tint="0.39997558519241921"/>
        <bgColor indexed="65"/>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s>
  <cellStyleXfs count="9">
    <xf numFmtId="0" fontId="0" fillId="0" borderId="0"/>
    <xf numFmtId="0" fontId="2" fillId="2"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7" borderId="2" applyNumberFormat="0" applyFont="0" applyAlignment="0" applyProtection="0"/>
    <xf numFmtId="0" fontId="3" fillId="8" borderId="0" applyNumberFormat="0" applyBorder="0" applyAlignment="0" applyProtection="0"/>
    <xf numFmtId="0" fontId="6" fillId="0" borderId="0" applyNumberFormat="0" applyFill="0" applyBorder="0" applyAlignment="0" applyProtection="0"/>
  </cellStyleXfs>
  <cellXfs count="24">
    <xf numFmtId="0" fontId="0" fillId="0" borderId="0" xfId="0"/>
    <xf numFmtId="0" fontId="1" fillId="0" borderId="0" xfId="0" applyFont="1"/>
    <xf numFmtId="0" fontId="3" fillId="3" borderId="0" xfId="2"/>
    <xf numFmtId="0" fontId="3" fillId="5" borderId="0" xfId="4"/>
    <xf numFmtId="0" fontId="1" fillId="4" borderId="0" xfId="3" applyFont="1"/>
    <xf numFmtId="0" fontId="1" fillId="5" borderId="0" xfId="4" applyFont="1"/>
    <xf numFmtId="0" fontId="3" fillId="6" borderId="0" xfId="5"/>
    <xf numFmtId="0" fontId="3" fillId="8" borderId="0" xfId="7"/>
    <xf numFmtId="0" fontId="0" fillId="7" borderId="2" xfId="6" applyFont="1"/>
    <xf numFmtId="0" fontId="3" fillId="4" borderId="1" xfId="3" applyBorder="1"/>
    <xf numFmtId="14" fontId="3" fillId="5" borderId="1" xfId="4" applyNumberFormat="1" applyBorder="1" applyAlignment="1">
      <alignment horizontal="left"/>
    </xf>
    <xf numFmtId="0" fontId="3" fillId="3" borderId="0" xfId="2" applyAlignment="1">
      <alignment horizontal="left"/>
    </xf>
    <xf numFmtId="0" fontId="3" fillId="6" borderId="0" xfId="5" applyAlignment="1">
      <alignment horizontal="left"/>
    </xf>
    <xf numFmtId="0" fontId="3" fillId="5" borderId="0" xfId="4" applyAlignment="1">
      <alignment horizontal="left"/>
    </xf>
    <xf numFmtId="0" fontId="1" fillId="4" borderId="0" xfId="3" applyFont="1" applyAlignment="1">
      <alignment wrapText="1"/>
    </xf>
    <xf numFmtId="0" fontId="1" fillId="5" borderId="0" xfId="4" applyFont="1" applyAlignment="1">
      <alignment wrapText="1"/>
    </xf>
    <xf numFmtId="0" fontId="4" fillId="2" borderId="0" xfId="1" applyFont="1" applyAlignment="1">
      <alignment horizontal="center"/>
    </xf>
    <xf numFmtId="0" fontId="4" fillId="2" borderId="0" xfId="1" applyFont="1" applyAlignment="1">
      <alignment horizontal="center" vertical="center"/>
    </xf>
    <xf numFmtId="0" fontId="0" fillId="6" borderId="0" xfId="5" applyFont="1"/>
    <xf numFmtId="0" fontId="0" fillId="3" borderId="0" xfId="2" applyFont="1"/>
    <xf numFmtId="0" fontId="6" fillId="3" borderId="0" xfId="8" applyFill="1"/>
    <xf numFmtId="0" fontId="0" fillId="4" borderId="0" xfId="3" applyFont="1"/>
    <xf numFmtId="0" fontId="0" fillId="5" borderId="0" xfId="4" applyFont="1"/>
    <xf numFmtId="14" fontId="0" fillId="6" borderId="0" xfId="5" applyNumberFormat="1" applyFont="1" applyAlignment="1">
      <alignment horizontal="left"/>
    </xf>
  </cellXfs>
  <cellStyles count="9">
    <cellStyle name="20% - Accent5" xfId="2" builtinId="46"/>
    <cellStyle name="20% - Accent6" xfId="3" builtinId="50"/>
    <cellStyle name="40% - Accent5" xfId="5" builtinId="47"/>
    <cellStyle name="40% - Accent6" xfId="4" builtinId="51"/>
    <cellStyle name="60% - Accent6" xfId="7" builtinId="52"/>
    <cellStyle name="Accent6" xfId="1" builtinId="49"/>
    <cellStyle name="Hyperlink" xfId="8" builtinId="8"/>
    <cellStyle name="Normal" xfId="0" builtinId="0"/>
    <cellStyle name="Note" xfId="6" builtinId="10"/>
  </cellStyles>
  <dxfs count="240">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0" tint="-4.9989318521683403E-2"/>
        </patternFill>
      </fill>
    </dxf>
    <dxf>
      <fill>
        <patternFill>
          <bgColor theme="8" tint="0.7999816888943144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ont>
        <strike/>
      </font>
      <fill>
        <patternFill>
          <bgColor rgb="FFFF7171"/>
        </patternFill>
      </fill>
    </dxf>
    <dxf>
      <fill>
        <patternFill>
          <bgColor theme="8" tint="0.59996337778862885"/>
        </patternFill>
      </fill>
    </dxf>
    <dxf>
      <fill>
        <patternFill>
          <bgColor theme="0" tint="-0.14996795556505021"/>
        </patternFill>
      </fill>
    </dxf>
    <dxf>
      <font>
        <strike/>
      </font>
      <fill>
        <patternFill>
          <bgColor rgb="FFFF9797"/>
        </patternFill>
      </fill>
    </dxf>
    <dxf>
      <fill>
        <patternFill>
          <bgColor theme="8" tint="0.79998168889431442"/>
        </patternFill>
      </fill>
    </dxf>
    <dxf>
      <fill>
        <patternFill>
          <bgColor theme="0" tint="-4.9989318521683403E-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ill>
        <patternFill>
          <bgColor theme="0" tint="-4.9989318521683403E-2"/>
        </patternFill>
      </fill>
    </dxf>
    <dxf>
      <fill>
        <patternFill>
          <bgColor theme="8" tint="0.59996337778862885"/>
        </patternFill>
      </fill>
    </dxf>
    <dxf>
      <fill>
        <patternFill>
          <bgColor theme="0" tint="-0.14996795556505021"/>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ill>
        <patternFill>
          <bgColor theme="0" tint="-0.14996795556505021"/>
        </patternFill>
      </fill>
    </dxf>
    <dxf>
      <fill>
        <patternFill>
          <bgColor theme="8" tint="0.59996337778862885"/>
        </patternFill>
      </fill>
    </dxf>
    <dxf>
      <font>
        <strike/>
      </font>
      <fill>
        <patternFill>
          <bgColor rgb="FFFF7171"/>
        </patternFill>
      </fill>
    </dxf>
    <dxf>
      <fill>
        <patternFill>
          <bgColor theme="0" tint="-4.9989318521683403E-2"/>
        </patternFill>
      </fill>
    </dxf>
    <dxf>
      <fill>
        <patternFill>
          <bgColor theme="8" tint="0.79998168889431442"/>
        </patternFill>
      </fill>
    </dxf>
    <dxf>
      <font>
        <strike/>
      </font>
      <fill>
        <patternFill>
          <bgColor rgb="FFFF9797"/>
        </patternFill>
      </fill>
    </dxf>
    <dxf>
      <font>
        <strike/>
      </font>
      <fill>
        <patternFill>
          <bgColor rgb="FFFF7171"/>
        </patternFill>
      </fill>
    </dxf>
    <dxf>
      <fill>
        <patternFill>
          <bgColor theme="8" tint="0.59996337778862885"/>
        </patternFill>
      </fill>
    </dxf>
    <dxf>
      <fill>
        <patternFill>
          <bgColor theme="0" tint="-0.14996795556505021"/>
        </patternFill>
      </fill>
    </dxf>
    <dxf>
      <font>
        <strike/>
      </font>
      <fill>
        <patternFill>
          <bgColor rgb="FFFF9797"/>
        </patternFill>
      </fill>
    </dxf>
    <dxf>
      <fill>
        <patternFill>
          <bgColor theme="8" tint="0.79998168889431442"/>
        </patternFill>
      </fill>
    </dxf>
    <dxf>
      <fill>
        <patternFill>
          <bgColor theme="0" tint="-4.9989318521683403E-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ill>
        <patternFill>
          <bgColor theme="0" tint="-0.14996795556505021"/>
        </patternFill>
      </fill>
    </dxf>
    <dxf>
      <fill>
        <patternFill>
          <bgColor theme="8" tint="0.59996337778862885"/>
        </patternFill>
      </fill>
    </dxf>
    <dxf>
      <fill>
        <patternFill>
          <bgColor theme="0" tint="-4.9989318521683403E-2"/>
        </patternFill>
      </fill>
    </dxf>
    <dxf>
      <fill>
        <patternFill>
          <bgColor theme="8" tint="0.79998168889431442"/>
        </patternFill>
      </fill>
    </dxf>
    <dxf>
      <fill>
        <patternFill>
          <bgColor theme="0" tint="-4.9989318521683403E-2"/>
        </patternFill>
      </fill>
    </dxf>
    <dxf>
      <fill>
        <patternFill>
          <bgColor theme="8" tint="0.59996337778862885"/>
        </patternFill>
      </fill>
    </dxf>
    <dxf>
      <fill>
        <patternFill>
          <bgColor theme="0" tint="-0.14996795556505021"/>
        </patternFill>
      </fill>
    </dxf>
  </dxfs>
  <tableStyles count="0" defaultTableStyle="TableStyleMedium2" defaultPivotStyle="PivotStyleLight16"/>
  <colors>
    <mruColors>
      <color rgb="FFFF9797"/>
      <color rgb="FFFF71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taiowaldhaus@amegroup.c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120"/>
  <sheetViews>
    <sheetView tabSelected="1" zoomScaleNormal="100" workbookViewId="0">
      <selection activeCell="M30" sqref="M30"/>
    </sheetView>
  </sheetViews>
  <sheetFormatPr defaultRowHeight="15" x14ac:dyDescent="0.25"/>
  <cols>
    <col min="1" max="1" width="91.140625" bestFit="1" customWidth="1"/>
    <col min="2" max="2" width="22.42578125" customWidth="1"/>
    <col min="3" max="3" width="21" bestFit="1" customWidth="1"/>
    <col min="4" max="5" width="22.7109375" bestFit="1" customWidth="1"/>
    <col min="6" max="6" width="15" bestFit="1" customWidth="1"/>
    <col min="7" max="7" width="15.85546875" bestFit="1" customWidth="1"/>
    <col min="8" max="8" width="17" bestFit="1" customWidth="1"/>
    <col min="9" max="9" width="15.28515625" bestFit="1" customWidth="1"/>
    <col min="10" max="10" width="15" bestFit="1" customWidth="1"/>
    <col min="11" max="11" width="54.7109375" customWidth="1"/>
    <col min="12" max="12" width="63.5703125" customWidth="1"/>
    <col min="13" max="13" width="63.42578125" bestFit="1" customWidth="1"/>
    <col min="14" max="14" width="9.85546875" customWidth="1"/>
    <col min="15" max="17" width="9.7109375" bestFit="1" customWidth="1"/>
  </cols>
  <sheetData>
    <row r="1" spans="1:13" x14ac:dyDescent="0.25">
      <c r="A1" t="s">
        <v>113</v>
      </c>
      <c r="B1" t="s">
        <v>70</v>
      </c>
      <c r="C1" t="s">
        <v>73</v>
      </c>
      <c r="D1" t="s">
        <v>110</v>
      </c>
      <c r="E1" t="s">
        <v>111</v>
      </c>
      <c r="F1" t="s">
        <v>112</v>
      </c>
      <c r="G1" t="s">
        <v>114</v>
      </c>
      <c r="H1" t="s">
        <v>115</v>
      </c>
      <c r="I1" t="s">
        <v>117</v>
      </c>
      <c r="J1" t="s">
        <v>118</v>
      </c>
      <c r="K1" s="16" t="s">
        <v>6</v>
      </c>
      <c r="L1" s="16"/>
      <c r="M1" s="7" t="s">
        <v>28</v>
      </c>
    </row>
    <row r="2" spans="1:13" x14ac:dyDescent="0.25">
      <c r="A2" t="str">
        <f>_xlfn.CONCAT($K$1," ",K2)</f>
        <v>Application To: Health Authority</v>
      </c>
      <c r="B2" t="s">
        <v>72</v>
      </c>
      <c r="C2" t="s">
        <v>4</v>
      </c>
      <c r="D2">
        <v>257</v>
      </c>
      <c r="E2">
        <v>158</v>
      </c>
      <c r="F2" t="s">
        <v>121</v>
      </c>
      <c r="G2">
        <v>2</v>
      </c>
      <c r="H2" t="s">
        <v>116</v>
      </c>
      <c r="K2" s="4" t="s">
        <v>25</v>
      </c>
      <c r="L2" s="2" t="s">
        <v>1</v>
      </c>
    </row>
    <row r="3" spans="1:13" x14ac:dyDescent="0.25">
      <c r="C3" t="s">
        <v>0</v>
      </c>
      <c r="D3">
        <v>41</v>
      </c>
      <c r="E3">
        <v>158</v>
      </c>
      <c r="K3" s="4"/>
      <c r="L3" s="2"/>
    </row>
    <row r="4" spans="1:13" x14ac:dyDescent="0.25">
      <c r="C4" t="s">
        <v>1</v>
      </c>
      <c r="D4">
        <v>162</v>
      </c>
      <c r="E4">
        <v>158</v>
      </c>
      <c r="K4" s="4"/>
      <c r="L4" s="2"/>
    </row>
    <row r="5" spans="1:13" x14ac:dyDescent="0.25">
      <c r="C5" t="s">
        <v>2</v>
      </c>
      <c r="D5">
        <v>369</v>
      </c>
      <c r="E5">
        <v>158</v>
      </c>
      <c r="K5" s="4"/>
      <c r="L5" s="2"/>
    </row>
    <row r="6" spans="1:13" x14ac:dyDescent="0.25">
      <c r="C6" t="s">
        <v>3</v>
      </c>
      <c r="D6">
        <v>482</v>
      </c>
      <c r="E6">
        <v>158</v>
      </c>
      <c r="K6" s="4"/>
      <c r="L6" s="2"/>
    </row>
    <row r="7" spans="1:13" x14ac:dyDescent="0.25">
      <c r="A7" t="str">
        <f t="shared" ref="A7:A9" si="0">_xlfn.CONCAT($K$1," ",K7)</f>
        <v>Application To: Name of Pool</v>
      </c>
      <c r="B7" t="s">
        <v>71</v>
      </c>
      <c r="D7">
        <v>31</v>
      </c>
      <c r="E7">
        <v>216</v>
      </c>
      <c r="F7" t="str" cm="1">
        <f t="array" aca="1" ref="F7" ca="1">_xlfn.CONCAT(_xlfn.TEXTSPLIT(CELL("address",L7),"$"))</f>
        <v>L7</v>
      </c>
      <c r="G7">
        <v>2</v>
      </c>
      <c r="H7" t="s">
        <v>116</v>
      </c>
      <c r="K7" s="5" t="s">
        <v>7</v>
      </c>
      <c r="L7" s="18" t="s">
        <v>122</v>
      </c>
    </row>
    <row r="8" spans="1:13" x14ac:dyDescent="0.25">
      <c r="A8" t="str">
        <f t="shared" si="0"/>
        <v>Application To: Street Adress</v>
      </c>
      <c r="B8" t="s">
        <v>71</v>
      </c>
      <c r="D8">
        <v>31</v>
      </c>
      <c r="E8">
        <v>245</v>
      </c>
      <c r="F8" t="str" cm="1">
        <f t="array" aca="1" ref="F8" ca="1">_xlfn.CONCAT(_xlfn.TEXTSPLIT(CELL("address",L8),"$"))</f>
        <v>L8</v>
      </c>
      <c r="G8">
        <v>2</v>
      </c>
      <c r="H8" t="s">
        <v>116</v>
      </c>
      <c r="K8" s="4" t="s">
        <v>9</v>
      </c>
      <c r="L8" s="19" t="s">
        <v>122</v>
      </c>
    </row>
    <row r="9" spans="1:13" x14ac:dyDescent="0.25">
      <c r="A9" t="str">
        <f t="shared" si="0"/>
        <v>Application To: Date</v>
      </c>
      <c r="B9" t="s">
        <v>71</v>
      </c>
      <c r="D9">
        <v>405</v>
      </c>
      <c r="E9">
        <v>216</v>
      </c>
      <c r="F9" t="str" cm="1">
        <f t="array" aca="1" ref="F9" ca="1">_xlfn.CONCAT(_xlfn.TEXTSPLIT(CELL("address",L9),"$"))</f>
        <v>L9</v>
      </c>
      <c r="G9">
        <v>2</v>
      </c>
      <c r="H9" t="s">
        <v>116</v>
      </c>
      <c r="K9" s="5" t="s">
        <v>8</v>
      </c>
      <c r="L9" s="23">
        <f ca="1">TODAY()</f>
        <v>45966</v>
      </c>
    </row>
    <row r="10" spans="1:13" x14ac:dyDescent="0.25">
      <c r="K10" s="17" t="s">
        <v>29</v>
      </c>
      <c r="L10" s="17"/>
    </row>
    <row r="11" spans="1:13" x14ac:dyDescent="0.25">
      <c r="A11" t="str">
        <f>_xlfn.CONCAT($K$10," ",K11)</f>
        <v>Contact Information: Owner or Agent Name</v>
      </c>
      <c r="B11" t="s">
        <v>71</v>
      </c>
      <c r="D11">
        <v>31</v>
      </c>
      <c r="E11">
        <v>295</v>
      </c>
      <c r="F11" t="str" cm="1">
        <f t="array" aca="1" ref="F11" ca="1">_xlfn.CONCAT(_xlfn.TEXTSPLIT(CELL("address",L11),"$"))</f>
        <v>L11</v>
      </c>
      <c r="G11">
        <v>2</v>
      </c>
      <c r="H11" t="s">
        <v>116</v>
      </c>
      <c r="K11" s="4" t="s">
        <v>5</v>
      </c>
      <c r="L11" s="2"/>
      <c r="M11" s="8" t="s">
        <v>31</v>
      </c>
    </row>
    <row r="12" spans="1:13" x14ac:dyDescent="0.25">
      <c r="A12" t="str">
        <f t="shared" ref="A12:A14" si="1">_xlfn.CONCAT($K$10," ",K12)</f>
        <v>Contact Information: Owner or Agent Address</v>
      </c>
      <c r="B12" t="s">
        <v>71</v>
      </c>
      <c r="D12">
        <v>31</v>
      </c>
      <c r="E12">
        <v>322</v>
      </c>
      <c r="F12" t="str" cm="1">
        <f t="array" aca="1" ref="F12" ca="1">_xlfn.CONCAT(_xlfn.TEXTSPLIT(CELL("address",L12),"$"))</f>
        <v>L12</v>
      </c>
      <c r="G12">
        <v>2</v>
      </c>
      <c r="H12" t="s">
        <v>116</v>
      </c>
      <c r="K12" s="5" t="s">
        <v>10</v>
      </c>
      <c r="L12" s="6"/>
      <c r="M12" s="8" t="s">
        <v>31</v>
      </c>
    </row>
    <row r="13" spans="1:13" x14ac:dyDescent="0.25">
      <c r="A13" t="str">
        <f t="shared" si="1"/>
        <v>Contact Information: Owner or Agent Phone Number</v>
      </c>
      <c r="B13" t="s">
        <v>71</v>
      </c>
      <c r="D13">
        <v>31</v>
      </c>
      <c r="E13">
        <v>351</v>
      </c>
      <c r="F13" t="str" cm="1">
        <f t="array" aca="1" ref="F13" ca="1">_xlfn.CONCAT(_xlfn.TEXTSPLIT(CELL("address",L13),"$"))</f>
        <v>L13</v>
      </c>
      <c r="G13">
        <v>2</v>
      </c>
      <c r="H13" t="s">
        <v>116</v>
      </c>
      <c r="K13" s="4" t="s">
        <v>11</v>
      </c>
      <c r="L13" s="2"/>
      <c r="M13" s="8" t="s">
        <v>31</v>
      </c>
    </row>
    <row r="14" spans="1:13" x14ac:dyDescent="0.25">
      <c r="A14" t="str">
        <f t="shared" si="1"/>
        <v>Contact Information: Owner or Agent Email</v>
      </c>
      <c r="B14" t="s">
        <v>71</v>
      </c>
      <c r="D14">
        <v>249</v>
      </c>
      <c r="E14">
        <v>351</v>
      </c>
      <c r="F14" t="str" cm="1">
        <f t="array" aca="1" ref="F14" ca="1">_xlfn.CONCAT(_xlfn.TEXTSPLIT(CELL("address",L14),"$"))</f>
        <v>L14</v>
      </c>
      <c r="G14">
        <v>2</v>
      </c>
      <c r="H14" t="s">
        <v>116</v>
      </c>
      <c r="K14" s="5" t="s">
        <v>12</v>
      </c>
      <c r="L14" s="6"/>
      <c r="M14" s="8" t="s">
        <v>31</v>
      </c>
    </row>
    <row r="15" spans="1:13" x14ac:dyDescent="0.25">
      <c r="K15" s="16" t="s">
        <v>30</v>
      </c>
      <c r="L15" s="16"/>
    </row>
    <row r="16" spans="1:13" x14ac:dyDescent="0.25">
      <c r="A16" t="str">
        <f>_xlfn.CONCAT($K$15," ",K16)</f>
        <v>Contact Information: Person Applying for Construction Permit Name</v>
      </c>
      <c r="B16" t="s">
        <v>71</v>
      </c>
      <c r="D16">
        <v>31</v>
      </c>
      <c r="E16">
        <v>402</v>
      </c>
      <c r="F16" t="str" cm="1">
        <f t="array" aca="1" ref="F16" ca="1">_xlfn.CONCAT(_xlfn.TEXTSPLIT(CELL("address",L16),"$"))</f>
        <v>L16</v>
      </c>
      <c r="G16">
        <v>2</v>
      </c>
      <c r="H16" t="s">
        <v>116</v>
      </c>
      <c r="K16" s="4" t="s">
        <v>5</v>
      </c>
      <c r="L16" s="19"/>
    </row>
    <row r="17" spans="1:13" x14ac:dyDescent="0.25">
      <c r="A17" t="str">
        <f t="shared" ref="A17:A19" si="2">_xlfn.CONCAT($K$15," ",K17)</f>
        <v>Contact Information: Person Applying for Construction Permit Address</v>
      </c>
      <c r="B17" t="s">
        <v>71</v>
      </c>
      <c r="D17">
        <v>31</v>
      </c>
      <c r="E17">
        <v>429</v>
      </c>
      <c r="F17" t="str" cm="1">
        <f t="array" aca="1" ref="F17" ca="1">_xlfn.CONCAT(_xlfn.TEXTSPLIT(CELL("address",L17),"$"))</f>
        <v>L17</v>
      </c>
      <c r="G17">
        <v>2</v>
      </c>
      <c r="H17" t="s">
        <v>116</v>
      </c>
      <c r="K17" s="5" t="s">
        <v>10</v>
      </c>
      <c r="L17" s="6"/>
    </row>
    <row r="18" spans="1:13" x14ac:dyDescent="0.25">
      <c r="A18" t="str">
        <f t="shared" si="2"/>
        <v>Contact Information: Person Applying for Construction Permit Phone Number</v>
      </c>
      <c r="B18" t="s">
        <v>71</v>
      </c>
      <c r="D18">
        <v>31</v>
      </c>
      <c r="E18">
        <v>458</v>
      </c>
      <c r="F18" t="str" cm="1">
        <f t="array" aca="1" ref="F18" ca="1">_xlfn.CONCAT(_xlfn.TEXTSPLIT(CELL("address",L18),"$"))</f>
        <v>L18</v>
      </c>
      <c r="G18">
        <v>2</v>
      </c>
      <c r="H18" t="s">
        <v>116</v>
      </c>
      <c r="K18" s="4" t="s">
        <v>11</v>
      </c>
      <c r="L18" s="2"/>
    </row>
    <row r="19" spans="1:13" x14ac:dyDescent="0.25">
      <c r="A19" t="str">
        <f t="shared" si="2"/>
        <v>Contact Information: Person Applying for Construction Permit Email</v>
      </c>
      <c r="B19" t="s">
        <v>71</v>
      </c>
      <c r="D19">
        <v>249</v>
      </c>
      <c r="E19">
        <v>458</v>
      </c>
      <c r="F19" t="str" cm="1">
        <f t="array" aca="1" ref="F19" ca="1">_xlfn.CONCAT(_xlfn.TEXTSPLIT(CELL("address",L19),"$"))</f>
        <v>L19</v>
      </c>
      <c r="G19">
        <v>2</v>
      </c>
      <c r="H19" t="s">
        <v>116</v>
      </c>
      <c r="K19" s="5" t="s">
        <v>12</v>
      </c>
      <c r="L19" s="6"/>
    </row>
    <row r="20" spans="1:13" x14ac:dyDescent="0.25">
      <c r="K20" s="16" t="s">
        <v>26</v>
      </c>
      <c r="L20" s="16"/>
    </row>
    <row r="21" spans="1:13" x14ac:dyDescent="0.25">
      <c r="A21" t="str">
        <f>_xlfn.CONCAT($K$20,": ",K21)</f>
        <v>Owner's Confirmation of Commitment: Owner Name</v>
      </c>
      <c r="B21" t="s">
        <v>71</v>
      </c>
      <c r="D21">
        <v>46</v>
      </c>
      <c r="E21">
        <v>493</v>
      </c>
      <c r="F21" t="str" cm="1">
        <f t="array" aca="1" ref="F21" ca="1">_xlfn.CONCAT(_xlfn.TEXTSPLIT(CELL("address",L21),"$"))</f>
        <v>L21</v>
      </c>
      <c r="G21">
        <v>2</v>
      </c>
      <c r="H21" t="s">
        <v>116</v>
      </c>
      <c r="I21" t="s">
        <v>119</v>
      </c>
      <c r="J21">
        <v>0</v>
      </c>
      <c r="K21" s="5" t="s">
        <v>27</v>
      </c>
      <c r="L21" s="6"/>
      <c r="M21" s="8" t="s">
        <v>31</v>
      </c>
    </row>
    <row r="22" spans="1:13" x14ac:dyDescent="0.25">
      <c r="I22" t="s">
        <v>120</v>
      </c>
      <c r="J22">
        <v>2</v>
      </c>
      <c r="K22" s="5"/>
      <c r="L22" s="6"/>
      <c r="M22" s="8"/>
    </row>
    <row r="23" spans="1:13" x14ac:dyDescent="0.25">
      <c r="A23" t="str">
        <f t="shared" ref="A23:A25" si="3">_xlfn.CONCAT($K$20,": ",K23)</f>
        <v>Owner's Confirmation of Commitment: Health Authority</v>
      </c>
      <c r="B23" t="s">
        <v>71</v>
      </c>
      <c r="D23">
        <v>36</v>
      </c>
      <c r="E23">
        <v>590</v>
      </c>
      <c r="F23" t="str" cm="1">
        <f t="array" aca="1" ref="F23" ca="1">_xlfn.CONCAT(_xlfn.TEXTSPLIT(CELL("address",L23),"$"))</f>
        <v>L23</v>
      </c>
      <c r="G23">
        <v>2</v>
      </c>
      <c r="H23" t="s">
        <v>116</v>
      </c>
      <c r="I23" t="s">
        <v>119</v>
      </c>
      <c r="J23">
        <v>0</v>
      </c>
      <c r="K23" s="4" t="s">
        <v>25</v>
      </c>
      <c r="L23" s="9" t="str">
        <f>L2</f>
        <v>Interior</v>
      </c>
    </row>
    <row r="24" spans="1:13" x14ac:dyDescent="0.25">
      <c r="I24" t="s">
        <v>120</v>
      </c>
      <c r="J24">
        <v>2</v>
      </c>
      <c r="K24" s="4"/>
      <c r="L24" s="9"/>
    </row>
    <row r="25" spans="1:13" x14ac:dyDescent="0.25">
      <c r="A25" t="str">
        <f t="shared" si="3"/>
        <v>Owner's Confirmation of Commitment: Date</v>
      </c>
      <c r="B25" t="s">
        <v>71</v>
      </c>
      <c r="D25">
        <v>376</v>
      </c>
      <c r="E25">
        <v>733</v>
      </c>
      <c r="F25" t="str" cm="1">
        <f t="array" aca="1" ref="F25" ca="1">_xlfn.CONCAT(_xlfn.TEXTSPLIT(CELL("address",L25),"$"))</f>
        <v>L25</v>
      </c>
      <c r="G25">
        <v>2</v>
      </c>
      <c r="H25" t="s">
        <v>116</v>
      </c>
      <c r="K25" s="5" t="s">
        <v>8</v>
      </c>
      <c r="L25" s="10">
        <f ca="1">L9</f>
        <v>45966</v>
      </c>
    </row>
    <row r="26" spans="1:13" x14ac:dyDescent="0.25">
      <c r="K26" s="16" t="s">
        <v>13</v>
      </c>
      <c r="L26" s="16"/>
    </row>
    <row r="27" spans="1:13" x14ac:dyDescent="0.25">
      <c r="A27" t="str">
        <f>_xlfn.CONCAT($K$26,": ",K27)</f>
        <v>General Information: Name of Pool:</v>
      </c>
      <c r="B27" t="s">
        <v>71</v>
      </c>
      <c r="D27">
        <v>97</v>
      </c>
      <c r="E27">
        <v>152</v>
      </c>
      <c r="F27" t="str" cm="1">
        <f t="array" aca="1" ref="F27" ca="1">_xlfn.CONCAT(_xlfn.TEXTSPLIT(CELL("address",L27),"$"))</f>
        <v>L27</v>
      </c>
      <c r="G27">
        <v>3</v>
      </c>
      <c r="H27" t="s">
        <v>116</v>
      </c>
      <c r="I27" t="s">
        <v>120</v>
      </c>
      <c r="J27">
        <v>9</v>
      </c>
      <c r="K27" s="4" t="s">
        <v>14</v>
      </c>
      <c r="L27" s="21" t="s">
        <v>122</v>
      </c>
    </row>
    <row r="28" spans="1:13" x14ac:dyDescent="0.25">
      <c r="A28" t="str">
        <f t="shared" ref="A28:A29" si="4">_xlfn.CONCAT($K$26,": ",K28)</f>
        <v>General Information: Civic Address:</v>
      </c>
      <c r="B28" t="s">
        <v>71</v>
      </c>
      <c r="D28">
        <v>97</v>
      </c>
      <c r="E28">
        <v>178</v>
      </c>
      <c r="F28" t="str" cm="1">
        <f t="array" aca="1" ref="F28" ca="1">_xlfn.CONCAT(_xlfn.TEXTSPLIT(CELL("address",L28),"$"))</f>
        <v>L28</v>
      </c>
      <c r="G28">
        <v>3</v>
      </c>
      <c r="H28" t="s">
        <v>116</v>
      </c>
      <c r="I28" t="s">
        <v>120</v>
      </c>
      <c r="J28">
        <v>9</v>
      </c>
      <c r="K28" s="5" t="s">
        <v>15</v>
      </c>
      <c r="L28" s="22" t="s">
        <v>122</v>
      </c>
    </row>
    <row r="29" spans="1:13" x14ac:dyDescent="0.25">
      <c r="A29" t="str">
        <f t="shared" si="4"/>
        <v>General Information: Pool Type:</v>
      </c>
      <c r="B29" t="s">
        <v>72</v>
      </c>
      <c r="C29" t="s">
        <v>18</v>
      </c>
      <c r="D29">
        <v>180</v>
      </c>
      <c r="E29">
        <v>193</v>
      </c>
      <c r="F29" t="str" cm="1">
        <f t="array" aca="1" ref="F29" ca="1">_xlfn.CONCAT(_xlfn.TEXTSPLIT(CELL("address",L29),"$"))</f>
        <v>L29</v>
      </c>
      <c r="G29">
        <v>3</v>
      </c>
      <c r="H29" t="s">
        <v>116</v>
      </c>
      <c r="K29" s="4" t="s">
        <v>16</v>
      </c>
      <c r="L29" s="2" t="s">
        <v>18</v>
      </c>
    </row>
    <row r="30" spans="1:13" x14ac:dyDescent="0.25">
      <c r="C30" t="s">
        <v>19</v>
      </c>
      <c r="D30">
        <v>282</v>
      </c>
      <c r="E30">
        <v>193</v>
      </c>
      <c r="K30" s="4"/>
      <c r="L30" s="2"/>
    </row>
    <row r="31" spans="1:13" x14ac:dyDescent="0.25">
      <c r="C31" t="s">
        <v>20</v>
      </c>
      <c r="D31">
        <v>343</v>
      </c>
      <c r="E31">
        <v>193</v>
      </c>
      <c r="K31" s="4"/>
      <c r="L31" s="2"/>
    </row>
    <row r="32" spans="1:13" x14ac:dyDescent="0.25">
      <c r="C32" t="s">
        <v>21</v>
      </c>
      <c r="D32">
        <v>414</v>
      </c>
      <c r="E32">
        <v>193</v>
      </c>
      <c r="K32" s="4"/>
      <c r="L32" s="2"/>
    </row>
    <row r="33" spans="1:13" x14ac:dyDescent="0.25">
      <c r="C33" t="s">
        <v>22</v>
      </c>
      <c r="D33">
        <v>497</v>
      </c>
      <c r="E33">
        <v>193</v>
      </c>
      <c r="K33" s="4"/>
      <c r="L33" s="2"/>
    </row>
    <row r="34" spans="1:13" x14ac:dyDescent="0.25">
      <c r="A34" t="str">
        <f>_xlfn.CONCAT($K$26,": ",K34)</f>
        <v>General Information: Indoor/Outdoor</v>
      </c>
      <c r="B34" t="s">
        <v>72</v>
      </c>
      <c r="C34" t="s">
        <v>23</v>
      </c>
      <c r="D34">
        <v>561</v>
      </c>
      <c r="E34">
        <v>193</v>
      </c>
      <c r="F34" t="str" cm="1">
        <f t="array" aca="1" ref="F34" ca="1">_xlfn.CONCAT(_xlfn.TEXTSPLIT(CELL("address",L34),"$"))</f>
        <v>L34</v>
      </c>
      <c r="G34">
        <v>3</v>
      </c>
      <c r="H34" t="s">
        <v>116</v>
      </c>
      <c r="K34" s="5" t="s">
        <v>17</v>
      </c>
      <c r="L34" s="6" t="s">
        <v>23</v>
      </c>
    </row>
    <row r="35" spans="1:13" x14ac:dyDescent="0.25">
      <c r="C35" t="s">
        <v>24</v>
      </c>
      <c r="D35">
        <v>561</v>
      </c>
      <c r="E35">
        <v>204</v>
      </c>
      <c r="K35" s="5"/>
      <c r="L35" s="6"/>
    </row>
    <row r="36" spans="1:13" x14ac:dyDescent="0.25">
      <c r="K36" s="16" t="s">
        <v>32</v>
      </c>
      <c r="L36" s="16"/>
    </row>
    <row r="37" spans="1:13" x14ac:dyDescent="0.25">
      <c r="A37" t="str">
        <f>_xlfn.CONCAT($K$36,": ",K37)</f>
        <v>Owner Information: Name</v>
      </c>
      <c r="B37" t="s">
        <v>71</v>
      </c>
      <c r="D37">
        <v>144</v>
      </c>
      <c r="E37">
        <v>253</v>
      </c>
      <c r="F37" t="str" cm="1">
        <f t="array" aca="1" ref="F37" ca="1">_xlfn.CONCAT(_xlfn.TEXTSPLIT(CELL("address",L37),"$"))</f>
        <v>L37</v>
      </c>
      <c r="G37">
        <v>3</v>
      </c>
      <c r="H37" t="s">
        <v>116</v>
      </c>
      <c r="I37" t="s">
        <v>120</v>
      </c>
      <c r="J37">
        <v>9</v>
      </c>
      <c r="K37" s="4" t="s">
        <v>5</v>
      </c>
      <c r="L37" s="2"/>
      <c r="M37" s="8" t="s">
        <v>31</v>
      </c>
    </row>
    <row r="38" spans="1:13" x14ac:dyDescent="0.25">
      <c r="A38" t="str">
        <f t="shared" ref="A38:A40" si="5">_xlfn.CONCAT($K$36,": ",K38)</f>
        <v>Owner Information: Address</v>
      </c>
      <c r="B38" t="s">
        <v>71</v>
      </c>
      <c r="D38">
        <v>73</v>
      </c>
      <c r="E38">
        <v>279</v>
      </c>
      <c r="F38" t="str" cm="1">
        <f t="array" aca="1" ref="F38" ca="1">_xlfn.CONCAT(_xlfn.TEXTSPLIT(CELL("address",L38),"$"))</f>
        <v>L38</v>
      </c>
      <c r="G38">
        <v>3</v>
      </c>
      <c r="H38" t="s">
        <v>116</v>
      </c>
      <c r="I38" t="s">
        <v>120</v>
      </c>
      <c r="J38">
        <v>9</v>
      </c>
      <c r="K38" s="5" t="s">
        <v>10</v>
      </c>
      <c r="L38" s="6"/>
      <c r="M38" s="8" t="s">
        <v>31</v>
      </c>
    </row>
    <row r="39" spans="1:13" x14ac:dyDescent="0.25">
      <c r="A39" t="str">
        <f t="shared" si="5"/>
        <v>Owner Information: Phone Number</v>
      </c>
      <c r="B39" t="s">
        <v>71</v>
      </c>
      <c r="D39">
        <v>104</v>
      </c>
      <c r="E39">
        <v>306</v>
      </c>
      <c r="F39" t="str" cm="1">
        <f t="array" aca="1" ref="F39" ca="1">_xlfn.CONCAT(_xlfn.TEXTSPLIT(CELL("address",L39),"$"))</f>
        <v>L39</v>
      </c>
      <c r="G39">
        <v>3</v>
      </c>
      <c r="H39" t="s">
        <v>116</v>
      </c>
      <c r="I39" t="s">
        <v>120</v>
      </c>
      <c r="J39">
        <v>9</v>
      </c>
      <c r="K39" s="4" t="s">
        <v>11</v>
      </c>
      <c r="L39" s="2"/>
      <c r="M39" s="8" t="s">
        <v>31</v>
      </c>
    </row>
    <row r="40" spans="1:13" x14ac:dyDescent="0.25">
      <c r="A40" t="str">
        <f t="shared" si="5"/>
        <v>Owner Information: Email</v>
      </c>
      <c r="B40" t="s">
        <v>71</v>
      </c>
      <c r="D40">
        <v>321</v>
      </c>
      <c r="E40">
        <v>306</v>
      </c>
      <c r="F40" t="str" cm="1">
        <f t="array" aca="1" ref="F40" ca="1">_xlfn.CONCAT(_xlfn.TEXTSPLIT(CELL("address",L40),"$"))</f>
        <v>L40</v>
      </c>
      <c r="G40">
        <v>3</v>
      </c>
      <c r="H40" t="s">
        <v>116</v>
      </c>
      <c r="I40" t="s">
        <v>120</v>
      </c>
      <c r="J40">
        <v>9</v>
      </c>
      <c r="K40" s="5" t="s">
        <v>12</v>
      </c>
      <c r="L40" s="6"/>
      <c r="M40" s="8" t="s">
        <v>31</v>
      </c>
    </row>
    <row r="41" spans="1:13" x14ac:dyDescent="0.25">
      <c r="K41" s="16" t="s">
        <v>33</v>
      </c>
      <c r="L41" s="16"/>
    </row>
    <row r="42" spans="1:13" x14ac:dyDescent="0.25">
      <c r="A42" t="str">
        <f>_xlfn.CONCAT($K$41,": ",K42)</f>
        <v>Designer Information (Append additional information for multiple designers): Name</v>
      </c>
      <c r="B42" t="s">
        <v>71</v>
      </c>
      <c r="D42">
        <v>64</v>
      </c>
      <c r="E42">
        <v>357</v>
      </c>
      <c r="F42" t="str" cm="1">
        <f t="array" aca="1" ref="F42" ca="1">_xlfn.CONCAT(_xlfn.TEXTSPLIT(CELL("address",L42),"$"))</f>
        <v>L42</v>
      </c>
      <c r="G42">
        <v>3</v>
      </c>
      <c r="H42" t="s">
        <v>116</v>
      </c>
      <c r="I42" t="s">
        <v>120</v>
      </c>
      <c r="J42">
        <v>10</v>
      </c>
      <c r="K42" s="5" t="s">
        <v>5</v>
      </c>
      <c r="L42" s="3">
        <f>L16</f>
        <v>0</v>
      </c>
    </row>
    <row r="43" spans="1:13" x14ac:dyDescent="0.25">
      <c r="A43" t="str">
        <f>_xlfn.CONCAT($K$41,": ",K43)</f>
        <v>Designer Information (Append additional information for multiple designers): Professional Designation</v>
      </c>
      <c r="B43" t="s">
        <v>72</v>
      </c>
      <c r="C43" t="s">
        <v>36</v>
      </c>
      <c r="D43">
        <v>516</v>
      </c>
      <c r="E43">
        <v>343</v>
      </c>
      <c r="F43" t="str" cm="1">
        <f t="array" aca="1" ref="F43" ca="1">_xlfn.CONCAT(_xlfn.TEXTSPLIT(CELL("address",L43),"$"))</f>
        <v>L43</v>
      </c>
      <c r="G43">
        <v>3</v>
      </c>
      <c r="H43" t="s">
        <v>116</v>
      </c>
      <c r="K43" s="4" t="s">
        <v>35</v>
      </c>
      <c r="L43" s="2" t="s">
        <v>36</v>
      </c>
    </row>
    <row r="44" spans="1:13" x14ac:dyDescent="0.25">
      <c r="C44" t="s">
        <v>74</v>
      </c>
      <c r="D44">
        <v>516</v>
      </c>
      <c r="E44">
        <v>354</v>
      </c>
      <c r="K44" s="4"/>
      <c r="L44" s="2"/>
    </row>
    <row r="45" spans="1:13" x14ac:dyDescent="0.25">
      <c r="A45" t="str">
        <f t="shared" ref="A45:A48" si="6">_xlfn.CONCAT($K$41,": ",K45)</f>
        <v>Designer Information (Append additional information for multiple designers): Company (Legal Corporate)</v>
      </c>
      <c r="B45" t="s">
        <v>71</v>
      </c>
      <c r="D45">
        <v>161</v>
      </c>
      <c r="E45">
        <v>383</v>
      </c>
      <c r="F45" t="str" cm="1">
        <f t="array" aca="1" ref="F45" ca="1">_xlfn.CONCAT(_xlfn.TEXTSPLIT(CELL("address",L45),"$"))</f>
        <v>L45</v>
      </c>
      <c r="G45">
        <v>3</v>
      </c>
      <c r="H45" t="s">
        <v>116</v>
      </c>
      <c r="I45" t="s">
        <v>120</v>
      </c>
      <c r="J45">
        <v>10</v>
      </c>
      <c r="K45" s="5" t="s">
        <v>34</v>
      </c>
      <c r="L45" s="18" t="s">
        <v>122</v>
      </c>
    </row>
    <row r="46" spans="1:13" x14ac:dyDescent="0.25">
      <c r="A46" t="str">
        <f t="shared" si="6"/>
        <v>Designer Information (Append additional information for multiple designers): Address</v>
      </c>
      <c r="B46" t="s">
        <v>71</v>
      </c>
      <c r="D46">
        <v>73</v>
      </c>
      <c r="E46">
        <v>409</v>
      </c>
      <c r="F46" t="str" cm="1">
        <f t="array" aca="1" ref="F46" ca="1">_xlfn.CONCAT(_xlfn.TEXTSPLIT(CELL("address",L47),"$"))</f>
        <v>L47</v>
      </c>
      <c r="G46">
        <v>3</v>
      </c>
      <c r="H46" t="s">
        <v>116</v>
      </c>
      <c r="I46" t="s">
        <v>120</v>
      </c>
      <c r="J46">
        <v>10</v>
      </c>
      <c r="K46" s="4" t="s">
        <v>10</v>
      </c>
      <c r="L46" s="19" t="s">
        <v>122</v>
      </c>
    </row>
    <row r="47" spans="1:13" x14ac:dyDescent="0.25">
      <c r="A47" t="str">
        <f t="shared" si="6"/>
        <v>Designer Information (Append additional information for multiple designers): Phone Number</v>
      </c>
      <c r="B47" t="s">
        <v>71</v>
      </c>
      <c r="D47">
        <v>104</v>
      </c>
      <c r="E47">
        <v>435</v>
      </c>
      <c r="F47" t="e" cm="1">
        <f t="array" aca="1" ref="F47" ca="1">_xlfn.CONCAT(_xlfn.TEXTSPLIT(CELL("address",#REF!),"$"))</f>
        <v>#REF!</v>
      </c>
      <c r="G47">
        <v>3</v>
      </c>
      <c r="H47" t="s">
        <v>116</v>
      </c>
      <c r="I47" t="s">
        <v>120</v>
      </c>
      <c r="J47">
        <v>10</v>
      </c>
      <c r="K47" s="5" t="s">
        <v>11</v>
      </c>
      <c r="L47" s="18" t="s">
        <v>122</v>
      </c>
    </row>
    <row r="48" spans="1:13" x14ac:dyDescent="0.25">
      <c r="A48" t="str">
        <f t="shared" si="6"/>
        <v>Designer Information (Append additional information for multiple designers): Email</v>
      </c>
      <c r="B48" t="s">
        <v>71</v>
      </c>
      <c r="D48">
        <v>321</v>
      </c>
      <c r="E48">
        <v>435</v>
      </c>
      <c r="F48" t="str" cm="1">
        <f t="array" aca="1" ref="F48" ca="1">_xlfn.CONCAT(_xlfn.TEXTSPLIT(CELL("address",L48),"$"))</f>
        <v>L48</v>
      </c>
      <c r="G48">
        <v>3</v>
      </c>
      <c r="H48" t="s">
        <v>116</v>
      </c>
      <c r="I48" t="s">
        <v>120</v>
      </c>
      <c r="J48">
        <v>10</v>
      </c>
      <c r="K48" s="4" t="s">
        <v>12</v>
      </c>
      <c r="L48" s="20" t="s">
        <v>122</v>
      </c>
    </row>
    <row r="49" spans="1:13" x14ac:dyDescent="0.25">
      <c r="K49" s="16" t="s">
        <v>37</v>
      </c>
      <c r="L49" s="16"/>
    </row>
    <row r="50" spans="1:13" x14ac:dyDescent="0.25">
      <c r="A50" t="str">
        <f>_xlfn.CONCAT($K$49,": ",K50)</f>
        <v>General Pool Parameters: Pool Volume: (m^3)</v>
      </c>
      <c r="B50" t="s">
        <v>71</v>
      </c>
      <c r="D50">
        <v>115</v>
      </c>
      <c r="E50">
        <v>491</v>
      </c>
      <c r="F50" t="str" cm="1">
        <f t="array" aca="1" ref="F50" ca="1">_xlfn.CONCAT(_xlfn.TEXTSPLIT(CELL("address",L50),"$"))</f>
        <v>L50</v>
      </c>
      <c r="G50">
        <v>3</v>
      </c>
      <c r="H50" t="s">
        <v>116</v>
      </c>
      <c r="I50" t="s">
        <v>120</v>
      </c>
      <c r="J50">
        <v>11</v>
      </c>
      <c r="K50" s="4" t="s">
        <v>38</v>
      </c>
      <c r="L50" s="11">
        <v>300</v>
      </c>
    </row>
    <row r="51" spans="1:13" x14ac:dyDescent="0.25">
      <c r="A51" t="str">
        <f t="shared" ref="A51:A61" si="7">_xlfn.CONCAT($K$49,": ",K51)</f>
        <v>General Pool Parameters: Turnover: (hours)</v>
      </c>
      <c r="B51" t="s">
        <v>71</v>
      </c>
      <c r="D51">
        <v>232</v>
      </c>
      <c r="E51">
        <v>491</v>
      </c>
      <c r="F51" t="str" cm="1">
        <f t="array" aca="1" ref="F51" ca="1">_xlfn.CONCAT(_xlfn.TEXTSPLIT(CELL("address",L51),"$"))</f>
        <v>L51</v>
      </c>
      <c r="G51">
        <v>3</v>
      </c>
      <c r="H51" t="s">
        <v>116</v>
      </c>
      <c r="I51" t="s">
        <v>120</v>
      </c>
      <c r="J51">
        <v>11</v>
      </c>
      <c r="K51" s="5" t="s">
        <v>39</v>
      </c>
      <c r="L51" s="12">
        <v>2.33</v>
      </c>
    </row>
    <row r="52" spans="1:13" x14ac:dyDescent="0.25">
      <c r="A52" t="str">
        <f t="shared" si="7"/>
        <v>General Pool Parameters: Design Re-circulation Flow Rate: (L/sec)</v>
      </c>
      <c r="B52" t="s">
        <v>71</v>
      </c>
      <c r="D52">
        <v>468</v>
      </c>
      <c r="E52">
        <v>491</v>
      </c>
      <c r="F52" t="str" cm="1">
        <f t="array" aca="1" ref="F52" ca="1">_xlfn.CONCAT(_xlfn.TEXTSPLIT(CELL("address",L52),"$"))</f>
        <v>L52</v>
      </c>
      <c r="G52">
        <v>3</v>
      </c>
      <c r="H52" t="s">
        <v>116</v>
      </c>
      <c r="I52" t="s">
        <v>120</v>
      </c>
      <c r="J52">
        <v>11</v>
      </c>
      <c r="K52" s="4" t="s">
        <v>40</v>
      </c>
      <c r="L52" s="11">
        <v>1200</v>
      </c>
    </row>
    <row r="53" spans="1:13" x14ac:dyDescent="0.25">
      <c r="A53" t="str">
        <f t="shared" si="7"/>
        <v>General Pool Parameters: Pool Area (m^2)</v>
      </c>
      <c r="B53" t="s">
        <v>71</v>
      </c>
      <c r="D53">
        <v>148</v>
      </c>
      <c r="E53">
        <v>522</v>
      </c>
      <c r="F53" t="str" cm="1">
        <f t="array" aca="1" ref="F53" ca="1">_xlfn.CONCAT(_xlfn.TEXTSPLIT(CELL("address",L53),"$"))</f>
        <v>L53</v>
      </c>
      <c r="G53">
        <v>3</v>
      </c>
      <c r="H53" t="s">
        <v>116</v>
      </c>
      <c r="I53" t="s">
        <v>120</v>
      </c>
      <c r="J53">
        <v>11</v>
      </c>
      <c r="K53" s="5" t="s">
        <v>41</v>
      </c>
      <c r="L53" s="12">
        <v>30</v>
      </c>
    </row>
    <row r="54" spans="1:13" x14ac:dyDescent="0.25">
      <c r="A54" t="str">
        <f t="shared" si="7"/>
        <v>General Pool Parameters: Deck Area (m^2)</v>
      </c>
      <c r="B54" t="s">
        <v>71</v>
      </c>
      <c r="D54">
        <v>243</v>
      </c>
      <c r="E54">
        <v>522</v>
      </c>
      <c r="F54" t="str" cm="1">
        <f t="array" aca="1" ref="F54" ca="1">_xlfn.CONCAT(_xlfn.TEXTSPLIT(CELL("address",L54),"$"))</f>
        <v>L54</v>
      </c>
      <c r="G54">
        <v>3</v>
      </c>
      <c r="H54" t="s">
        <v>116</v>
      </c>
      <c r="I54" t="s">
        <v>120</v>
      </c>
      <c r="J54">
        <v>11</v>
      </c>
      <c r="K54" s="4" t="s">
        <v>42</v>
      </c>
      <c r="L54" s="11">
        <v>20</v>
      </c>
    </row>
    <row r="55" spans="1:13" x14ac:dyDescent="0.25">
      <c r="A55" t="str">
        <f t="shared" si="7"/>
        <v>General Pool Parameters: Minimum Water Depth</v>
      </c>
      <c r="B55" t="s">
        <v>71</v>
      </c>
      <c r="D55">
        <v>420</v>
      </c>
      <c r="E55">
        <v>522</v>
      </c>
      <c r="F55" t="str" cm="1">
        <f t="array" aca="1" ref="F55" ca="1">_xlfn.CONCAT(_xlfn.TEXTSPLIT(CELL("address",L55),"$"))</f>
        <v>L55</v>
      </c>
      <c r="G55">
        <v>3</v>
      </c>
      <c r="H55" t="s">
        <v>116</v>
      </c>
      <c r="I55" t="s">
        <v>120</v>
      </c>
      <c r="J55">
        <v>11</v>
      </c>
      <c r="K55" s="5" t="s">
        <v>43</v>
      </c>
      <c r="L55" s="12">
        <v>1</v>
      </c>
      <c r="M55" s="8" t="s">
        <v>53</v>
      </c>
    </row>
    <row r="56" spans="1:13" x14ac:dyDescent="0.25">
      <c r="A56" t="str">
        <f t="shared" si="7"/>
        <v>General Pool Parameters: Maximum Water Depth</v>
      </c>
      <c r="B56" t="s">
        <v>71</v>
      </c>
      <c r="D56">
        <v>515</v>
      </c>
      <c r="E56">
        <v>522</v>
      </c>
      <c r="F56" t="str" cm="1">
        <f t="array" aca="1" ref="F56" ca="1">_xlfn.CONCAT(_xlfn.TEXTSPLIT(CELL("address",L56),"$"))</f>
        <v>L56</v>
      </c>
      <c r="G56">
        <v>3</v>
      </c>
      <c r="H56" t="s">
        <v>116</v>
      </c>
      <c r="I56" t="s">
        <v>120</v>
      </c>
      <c r="J56">
        <v>11</v>
      </c>
      <c r="K56" s="4" t="s">
        <v>44</v>
      </c>
      <c r="L56" s="11">
        <v>3</v>
      </c>
    </row>
    <row r="57" spans="1:13" x14ac:dyDescent="0.25">
      <c r="A57" t="str">
        <f t="shared" si="7"/>
        <v>General Pool Parameters: Shallow Bathing Load</v>
      </c>
      <c r="B57" t="s">
        <v>71</v>
      </c>
      <c r="D57">
        <v>163</v>
      </c>
      <c r="E57">
        <v>552</v>
      </c>
      <c r="F57" t="str" cm="1">
        <f t="array" aca="1" ref="F57" ca="1">_xlfn.CONCAT(_xlfn.TEXTSPLIT(CELL("address",L57),"$"))</f>
        <v>L57</v>
      </c>
      <c r="G57">
        <v>3</v>
      </c>
      <c r="H57" t="s">
        <v>116</v>
      </c>
      <c r="I57" t="s">
        <v>120</v>
      </c>
      <c r="J57">
        <v>11</v>
      </c>
      <c r="K57" s="5" t="s">
        <v>45</v>
      </c>
      <c r="L57" s="12">
        <v>100</v>
      </c>
    </row>
    <row r="58" spans="1:13" x14ac:dyDescent="0.25">
      <c r="A58" t="str">
        <f t="shared" si="7"/>
        <v>General Pool Parameters: Deep Bathing Load</v>
      </c>
      <c r="B58" t="s">
        <v>71</v>
      </c>
      <c r="D58">
        <v>315</v>
      </c>
      <c r="E58">
        <v>552</v>
      </c>
      <c r="F58" t="str" cm="1">
        <f t="array" aca="1" ref="F58" ca="1">_xlfn.CONCAT(_xlfn.TEXTSPLIT(CELL("address",L58),"$"))</f>
        <v>L58</v>
      </c>
      <c r="G58">
        <v>3</v>
      </c>
      <c r="H58" t="s">
        <v>116</v>
      </c>
      <c r="I58" t="s">
        <v>120</v>
      </c>
      <c r="J58">
        <v>11</v>
      </c>
      <c r="K58" s="4" t="s">
        <v>46</v>
      </c>
      <c r="L58" s="11">
        <v>100</v>
      </c>
    </row>
    <row r="59" spans="1:13" x14ac:dyDescent="0.25">
      <c r="A59" t="str">
        <f t="shared" si="7"/>
        <v>General Pool Parameters: Total Bathing Load</v>
      </c>
      <c r="B59" t="s">
        <v>71</v>
      </c>
      <c r="D59">
        <v>469</v>
      </c>
      <c r="E59">
        <v>552</v>
      </c>
      <c r="F59" t="str" cm="1">
        <f t="array" aca="1" ref="F59" ca="1">_xlfn.CONCAT(_xlfn.TEXTSPLIT(CELL("address",L59),"$"))</f>
        <v>L59</v>
      </c>
      <c r="G59">
        <v>3</v>
      </c>
      <c r="H59" t="s">
        <v>116</v>
      </c>
      <c r="I59" t="s">
        <v>120</v>
      </c>
      <c r="J59">
        <v>11</v>
      </c>
      <c r="K59" s="5" t="s">
        <v>47</v>
      </c>
      <c r="L59" s="13">
        <f>SUM(L57:L58)</f>
        <v>200</v>
      </c>
    </row>
    <row r="60" spans="1:13" x14ac:dyDescent="0.25">
      <c r="A60" t="str">
        <f t="shared" si="7"/>
        <v>General Pool Parameters: Pool Basin Color</v>
      </c>
      <c r="B60" t="s">
        <v>71</v>
      </c>
      <c r="D60">
        <v>157</v>
      </c>
      <c r="E60">
        <v>582</v>
      </c>
      <c r="F60" t="str" cm="1">
        <f t="array" aca="1" ref="F60" ca="1">_xlfn.CONCAT(_xlfn.TEXTSPLIT(CELL("address",L60),"$"))</f>
        <v>L60</v>
      </c>
      <c r="G60">
        <v>3</v>
      </c>
      <c r="H60" t="s">
        <v>116</v>
      </c>
      <c r="I60" t="s">
        <v>120</v>
      </c>
      <c r="J60">
        <v>11</v>
      </c>
      <c r="K60" s="4" t="s">
        <v>48</v>
      </c>
      <c r="L60" s="11" t="s">
        <v>68</v>
      </c>
    </row>
    <row r="61" spans="1:13" x14ac:dyDescent="0.25">
      <c r="A61" t="str">
        <f t="shared" si="7"/>
        <v>General Pool Parameters: Complies with Pool Regulations</v>
      </c>
      <c r="B61" t="s">
        <v>72</v>
      </c>
      <c r="C61" t="s">
        <v>50</v>
      </c>
      <c r="D61">
        <v>444</v>
      </c>
      <c r="E61">
        <v>568</v>
      </c>
      <c r="F61" t="str" cm="1">
        <f t="array" aca="1" ref="F61" ca="1">_xlfn.CONCAT(_xlfn.TEXTSPLIT(CELL("address",L61),"$"))</f>
        <v>L61</v>
      </c>
      <c r="G61">
        <v>3</v>
      </c>
      <c r="H61" t="s">
        <v>116</v>
      </c>
      <c r="K61" s="5" t="s">
        <v>49</v>
      </c>
      <c r="L61" s="12" t="s">
        <v>50</v>
      </c>
    </row>
    <row r="62" spans="1:13" x14ac:dyDescent="0.25">
      <c r="C62" t="s">
        <v>51</v>
      </c>
      <c r="D62">
        <v>481</v>
      </c>
      <c r="E62">
        <v>568</v>
      </c>
      <c r="K62" s="5"/>
      <c r="L62" s="12"/>
    </row>
    <row r="63" spans="1:13" x14ac:dyDescent="0.25">
      <c r="A63" t="str">
        <f t="shared" ref="A63:A70" si="8">_xlfn.CONCAT($K$49,": ",K63)</f>
        <v>General Pool Parameters: Filters</v>
      </c>
      <c r="B63" t="s">
        <v>72</v>
      </c>
      <c r="C63" t="s">
        <v>54</v>
      </c>
      <c r="D63">
        <v>154</v>
      </c>
      <c r="E63">
        <v>597</v>
      </c>
      <c r="F63" t="str" cm="1">
        <f t="array" aca="1" ref="F63" ca="1">_xlfn.CONCAT(_xlfn.TEXTSPLIT(CELL("address",L63),"$"))</f>
        <v>L63</v>
      </c>
      <c r="G63">
        <v>3</v>
      </c>
      <c r="H63" t="s">
        <v>116</v>
      </c>
      <c r="K63" s="4" t="s">
        <v>52</v>
      </c>
      <c r="L63" s="11" t="s">
        <v>57</v>
      </c>
    </row>
    <row r="64" spans="1:13" x14ac:dyDescent="0.25">
      <c r="C64" t="s">
        <v>69</v>
      </c>
      <c r="D64">
        <v>201</v>
      </c>
      <c r="E64">
        <v>597</v>
      </c>
      <c r="K64" s="4"/>
      <c r="L64" s="11"/>
    </row>
    <row r="65" spans="1:12" x14ac:dyDescent="0.25">
      <c r="C65" t="s">
        <v>55</v>
      </c>
      <c r="D65">
        <v>270</v>
      </c>
      <c r="E65">
        <v>597</v>
      </c>
      <c r="K65" s="4"/>
      <c r="L65" s="11"/>
    </row>
    <row r="66" spans="1:12" x14ac:dyDescent="0.25">
      <c r="C66" t="s">
        <v>56</v>
      </c>
      <c r="D66">
        <v>338</v>
      </c>
      <c r="E66">
        <v>597</v>
      </c>
      <c r="K66" s="4"/>
      <c r="L66" s="11"/>
    </row>
    <row r="67" spans="1:12" x14ac:dyDescent="0.25">
      <c r="C67" t="s">
        <v>57</v>
      </c>
      <c r="D67">
        <v>398</v>
      </c>
      <c r="E67">
        <v>597</v>
      </c>
      <c r="K67" s="4"/>
      <c r="L67" s="11"/>
    </row>
    <row r="68" spans="1:12" x14ac:dyDescent="0.25">
      <c r="A68" t="str">
        <f t="shared" si="8"/>
        <v>General Pool Parameters: NSF Approved</v>
      </c>
      <c r="B68" t="s">
        <v>72</v>
      </c>
      <c r="C68" t="s">
        <v>50</v>
      </c>
      <c r="D68">
        <v>537</v>
      </c>
      <c r="E68">
        <v>597</v>
      </c>
      <c r="F68" t="str" cm="1">
        <f t="array" aca="1" ref="F68" ca="1">_xlfn.CONCAT(_xlfn.TEXTSPLIT(CELL("address",L68),"$"))</f>
        <v>L68</v>
      </c>
      <c r="G68">
        <v>3</v>
      </c>
      <c r="H68" t="s">
        <v>116</v>
      </c>
      <c r="K68" s="5" t="s">
        <v>58</v>
      </c>
      <c r="L68" s="12" t="s">
        <v>50</v>
      </c>
    </row>
    <row r="69" spans="1:12" x14ac:dyDescent="0.25">
      <c r="C69" t="s">
        <v>51</v>
      </c>
      <c r="D69">
        <v>567</v>
      </c>
      <c r="E69">
        <v>597</v>
      </c>
      <c r="K69" s="5"/>
      <c r="L69" s="12"/>
    </row>
    <row r="70" spans="1:12" x14ac:dyDescent="0.25">
      <c r="A70" t="str">
        <f t="shared" si="8"/>
        <v>General Pool Parameters: Pressure Gauge Quantity</v>
      </c>
      <c r="B70" t="s">
        <v>71</v>
      </c>
      <c r="F70" t="str" cm="1">
        <f t="array" aca="1" ref="F70" ca="1">_xlfn.CONCAT(_xlfn.TEXTSPLIT(CELL("address",L70),"$"))</f>
        <v>L70</v>
      </c>
      <c r="G70">
        <v>3</v>
      </c>
      <c r="H70" t="s">
        <v>116</v>
      </c>
      <c r="K70" s="4" t="s">
        <v>59</v>
      </c>
      <c r="L70" s="11">
        <v>2</v>
      </c>
    </row>
    <row r="71" spans="1:12" x14ac:dyDescent="0.25">
      <c r="A71" t="str">
        <f>_xlfn.CONCAT($K$49,": ",K71)</f>
        <v>General Pool Parameters: Vacuum Gauge Quantity</v>
      </c>
      <c r="B71" t="s">
        <v>71</v>
      </c>
      <c r="F71" t="str" cm="1">
        <f t="array" aca="1" ref="F71" ca="1">_xlfn.CONCAT(_xlfn.TEXTSPLIT(CELL("address",L71),"$"))</f>
        <v>L71</v>
      </c>
      <c r="G71">
        <v>3</v>
      </c>
      <c r="H71" t="s">
        <v>116</v>
      </c>
      <c r="K71" s="5" t="s">
        <v>60</v>
      </c>
      <c r="L71" s="12">
        <v>2</v>
      </c>
    </row>
    <row r="72" spans="1:12" x14ac:dyDescent="0.25">
      <c r="A72" t="str">
        <f>_xlfn.CONCAT($K$49,": ",K72)</f>
        <v>General Pool Parameters: Temperature Gauge Quantity</v>
      </c>
      <c r="B72" t="s">
        <v>71</v>
      </c>
      <c r="F72" t="str" cm="1">
        <f t="array" aca="1" ref="F72" ca="1">_xlfn.CONCAT(_xlfn.TEXTSPLIT(CELL("address",L72),"$"))</f>
        <v>L72</v>
      </c>
      <c r="G72">
        <v>3</v>
      </c>
      <c r="H72" t="s">
        <v>116</v>
      </c>
      <c r="K72" s="4" t="s">
        <v>61</v>
      </c>
      <c r="L72" s="11">
        <v>1</v>
      </c>
    </row>
    <row r="73" spans="1:12" x14ac:dyDescent="0.25">
      <c r="A73" t="str">
        <f>_xlfn.CONCAT($K$49,": ",K73)</f>
        <v>General Pool Parameters: Disinfection</v>
      </c>
      <c r="B73" t="s">
        <v>72</v>
      </c>
      <c r="C73" t="s">
        <v>63</v>
      </c>
      <c r="F73" t="str" cm="1">
        <f t="array" aca="1" ref="F73" ca="1">_xlfn.CONCAT(_xlfn.TEXTSPLIT(CELL("address",L73),"$"))</f>
        <v>L73</v>
      </c>
      <c r="G73">
        <v>3</v>
      </c>
      <c r="H73" t="s">
        <v>116</v>
      </c>
      <c r="K73" s="5" t="s">
        <v>62</v>
      </c>
      <c r="L73" s="12" t="s">
        <v>63</v>
      </c>
    </row>
    <row r="74" spans="1:12" x14ac:dyDescent="0.25">
      <c r="C74" t="s">
        <v>64</v>
      </c>
      <c r="K74" s="5"/>
      <c r="L74" s="12"/>
    </row>
    <row r="75" spans="1:12" x14ac:dyDescent="0.25">
      <c r="C75" t="s">
        <v>65</v>
      </c>
      <c r="K75" s="5"/>
      <c r="L75" s="12"/>
    </row>
    <row r="76" spans="1:12" x14ac:dyDescent="0.25">
      <c r="C76" t="s">
        <v>66</v>
      </c>
      <c r="K76" s="5"/>
      <c r="L76" s="12"/>
    </row>
    <row r="77" spans="1:12" x14ac:dyDescent="0.25">
      <c r="C77" t="s">
        <v>67</v>
      </c>
      <c r="K77" s="5"/>
      <c r="L77" s="12"/>
    </row>
    <row r="78" spans="1:12" x14ac:dyDescent="0.25">
      <c r="K78" s="16" t="s">
        <v>75</v>
      </c>
      <c r="L78" s="16"/>
    </row>
    <row r="79" spans="1:12" ht="90" x14ac:dyDescent="0.25">
      <c r="A79" t="s">
        <v>77</v>
      </c>
      <c r="B79" t="s">
        <v>72</v>
      </c>
      <c r="C79" t="s">
        <v>50</v>
      </c>
      <c r="F79" t="str" cm="1">
        <f t="array" aca="1" ref="F79" ca="1">_xlfn.CONCAT(_xlfn.TEXTSPLIT(CELL("address",L79),"$"))</f>
        <v>L79</v>
      </c>
      <c r="G79">
        <v>4</v>
      </c>
      <c r="K79" s="14" t="s">
        <v>76</v>
      </c>
      <c r="L79" s="11" t="s">
        <v>50</v>
      </c>
    </row>
    <row r="80" spans="1:12" x14ac:dyDescent="0.25">
      <c r="C80" t="s">
        <v>51</v>
      </c>
      <c r="K80" s="4"/>
      <c r="L80" s="11"/>
    </row>
    <row r="81" spans="1:12" x14ac:dyDescent="0.25">
      <c r="C81" t="s">
        <v>78</v>
      </c>
      <c r="K81" s="4"/>
      <c r="L81" s="11"/>
    </row>
    <row r="82" spans="1:12" ht="45" x14ac:dyDescent="0.25">
      <c r="A82" t="s">
        <v>79</v>
      </c>
      <c r="B82" t="s">
        <v>72</v>
      </c>
      <c r="C82" t="s">
        <v>50</v>
      </c>
      <c r="F82" t="str" cm="1">
        <f t="array" aca="1" ref="F82" ca="1">_xlfn.CONCAT(_xlfn.TEXTSPLIT(CELL("address",L82),"$"))</f>
        <v>L82</v>
      </c>
      <c r="G82">
        <v>4</v>
      </c>
      <c r="K82" s="15" t="s">
        <v>80</v>
      </c>
      <c r="L82" s="12" t="s">
        <v>50</v>
      </c>
    </row>
    <row r="83" spans="1:12" x14ac:dyDescent="0.25">
      <c r="C83" t="s">
        <v>51</v>
      </c>
      <c r="K83" s="5"/>
      <c r="L83" s="12"/>
    </row>
    <row r="84" spans="1:12" ht="60" x14ac:dyDescent="0.25">
      <c r="A84" t="s">
        <v>81</v>
      </c>
      <c r="B84" t="s">
        <v>72</v>
      </c>
      <c r="C84" t="s">
        <v>50</v>
      </c>
      <c r="F84" t="str" cm="1">
        <f t="array" aca="1" ref="F84" ca="1">_xlfn.CONCAT(_xlfn.TEXTSPLIT(CELL("address",L84),"$"))</f>
        <v>L84</v>
      </c>
      <c r="G84">
        <v>4</v>
      </c>
      <c r="K84" s="14" t="s">
        <v>87</v>
      </c>
      <c r="L84" s="11" t="s">
        <v>50</v>
      </c>
    </row>
    <row r="85" spans="1:12" x14ac:dyDescent="0.25">
      <c r="C85" t="s">
        <v>51</v>
      </c>
      <c r="K85" s="4"/>
      <c r="L85" s="11"/>
    </row>
    <row r="86" spans="1:12" ht="75" x14ac:dyDescent="0.25">
      <c r="A86" t="s">
        <v>82</v>
      </c>
      <c r="B86" t="s">
        <v>72</v>
      </c>
      <c r="C86" t="s">
        <v>50</v>
      </c>
      <c r="F86" t="str" cm="1">
        <f t="array" aca="1" ref="F86" ca="1">_xlfn.CONCAT(_xlfn.TEXTSPLIT(CELL("address",L86),"$"))</f>
        <v>L86</v>
      </c>
      <c r="G86">
        <v>4</v>
      </c>
      <c r="K86" s="15" t="s">
        <v>88</v>
      </c>
      <c r="L86" s="12" t="s">
        <v>50</v>
      </c>
    </row>
    <row r="87" spans="1:12" x14ac:dyDescent="0.25">
      <c r="C87" t="s">
        <v>51</v>
      </c>
      <c r="K87" s="5"/>
      <c r="L87" s="12"/>
    </row>
    <row r="88" spans="1:12" ht="45" x14ac:dyDescent="0.25">
      <c r="A88" t="s">
        <v>83</v>
      </c>
      <c r="B88" t="s">
        <v>72</v>
      </c>
      <c r="C88" t="s">
        <v>50</v>
      </c>
      <c r="F88" t="str" cm="1">
        <f t="array" aca="1" ref="F88" ca="1">_xlfn.CONCAT(_xlfn.TEXTSPLIT(CELL("address",L88),"$"))</f>
        <v>L88</v>
      </c>
      <c r="G88">
        <v>4</v>
      </c>
      <c r="K88" s="14" t="s">
        <v>89</v>
      </c>
      <c r="L88" s="11" t="s">
        <v>50</v>
      </c>
    </row>
    <row r="89" spans="1:12" x14ac:dyDescent="0.25">
      <c r="C89" t="s">
        <v>51</v>
      </c>
      <c r="K89" s="4"/>
      <c r="L89" s="11"/>
    </row>
    <row r="90" spans="1:12" ht="45" x14ac:dyDescent="0.25">
      <c r="A90" t="s">
        <v>84</v>
      </c>
      <c r="B90" t="s">
        <v>72</v>
      </c>
      <c r="C90" t="s">
        <v>50</v>
      </c>
      <c r="F90" t="str" cm="1">
        <f t="array" aca="1" ref="F90" ca="1">_xlfn.CONCAT(_xlfn.TEXTSPLIT(CELL("address",L90),"$"))</f>
        <v>L90</v>
      </c>
      <c r="G90">
        <v>4</v>
      </c>
      <c r="K90" s="15" t="s">
        <v>90</v>
      </c>
      <c r="L90" s="12" t="s">
        <v>50</v>
      </c>
    </row>
    <row r="91" spans="1:12" x14ac:dyDescent="0.25">
      <c r="C91" t="s">
        <v>51</v>
      </c>
      <c r="K91" s="5"/>
      <c r="L91" s="12"/>
    </row>
    <row r="92" spans="1:12" ht="75" x14ac:dyDescent="0.25">
      <c r="A92" t="s">
        <v>85</v>
      </c>
      <c r="B92" t="s">
        <v>72</v>
      </c>
      <c r="C92" t="s">
        <v>50</v>
      </c>
      <c r="F92" t="str" cm="1">
        <f t="array" aca="1" ref="F92" ca="1">_xlfn.CONCAT(_xlfn.TEXTSPLIT(CELL("address",L92),"$"))</f>
        <v>L92</v>
      </c>
      <c r="G92">
        <v>4</v>
      </c>
      <c r="K92" s="14" t="s">
        <v>91</v>
      </c>
      <c r="L92" s="11" t="s">
        <v>50</v>
      </c>
    </row>
    <row r="93" spans="1:12" x14ac:dyDescent="0.25">
      <c r="C93" t="s">
        <v>51</v>
      </c>
      <c r="K93" s="4"/>
      <c r="L93" s="11"/>
    </row>
    <row r="94" spans="1:12" ht="45" x14ac:dyDescent="0.25">
      <c r="A94" t="s">
        <v>86</v>
      </c>
      <c r="B94" t="s">
        <v>72</v>
      </c>
      <c r="C94" t="s">
        <v>50</v>
      </c>
      <c r="F94" t="str" cm="1">
        <f t="array" aca="1" ref="F94" ca="1">_xlfn.CONCAT(_xlfn.TEXTSPLIT(CELL("address",L94),"$"))</f>
        <v>L94</v>
      </c>
      <c r="G94">
        <v>4</v>
      </c>
      <c r="K94" s="15" t="s">
        <v>95</v>
      </c>
      <c r="L94" s="12" t="s">
        <v>50</v>
      </c>
    </row>
    <row r="95" spans="1:12" x14ac:dyDescent="0.25">
      <c r="C95" t="s">
        <v>51</v>
      </c>
      <c r="K95" s="5"/>
      <c r="L95" s="12"/>
    </row>
    <row r="96" spans="1:12" x14ac:dyDescent="0.25">
      <c r="C96" t="s">
        <v>78</v>
      </c>
      <c r="K96" s="5"/>
      <c r="L96" s="12"/>
    </row>
    <row r="97" spans="1:12" ht="75" x14ac:dyDescent="0.25">
      <c r="A97" t="s">
        <v>97</v>
      </c>
      <c r="B97" t="s">
        <v>72</v>
      </c>
      <c r="C97" t="s">
        <v>50</v>
      </c>
      <c r="F97" t="str" cm="1">
        <f t="array" aca="1" ref="F97" ca="1">_xlfn.CONCAT(_xlfn.TEXTSPLIT(CELL("address",L97),"$"))</f>
        <v>L97</v>
      </c>
      <c r="G97">
        <v>4</v>
      </c>
      <c r="K97" s="14" t="s">
        <v>96</v>
      </c>
      <c r="L97" s="11" t="s">
        <v>50</v>
      </c>
    </row>
    <row r="98" spans="1:12" x14ac:dyDescent="0.25">
      <c r="C98" t="s">
        <v>51</v>
      </c>
      <c r="K98" s="4"/>
      <c r="L98" s="11"/>
    </row>
    <row r="99" spans="1:12" ht="75" x14ac:dyDescent="0.25">
      <c r="A99" t="s">
        <v>98</v>
      </c>
      <c r="B99" t="s">
        <v>71</v>
      </c>
      <c r="F99" t="str" cm="1">
        <f t="array" aca="1" ref="F99" ca="1">_xlfn.CONCAT(_xlfn.TEXTSPLIT(CELL("address",L99),"$"))</f>
        <v>L99</v>
      </c>
      <c r="G99">
        <v>4</v>
      </c>
      <c r="K99" s="15" t="s">
        <v>99</v>
      </c>
      <c r="L99" s="12"/>
    </row>
    <row r="100" spans="1:12" ht="45" x14ac:dyDescent="0.25">
      <c r="A100" t="s">
        <v>92</v>
      </c>
      <c r="C100" t="s">
        <v>50</v>
      </c>
      <c r="F100" t="str" cm="1">
        <f t="array" aca="1" ref="F100" ca="1">_xlfn.CONCAT(_xlfn.TEXTSPLIT(CELL("address",L100),"$"))</f>
        <v>L100</v>
      </c>
      <c r="G100">
        <v>4</v>
      </c>
      <c r="K100" s="14" t="s">
        <v>100</v>
      </c>
      <c r="L100" s="11"/>
    </row>
    <row r="101" spans="1:12" x14ac:dyDescent="0.25">
      <c r="C101" t="s">
        <v>51</v>
      </c>
      <c r="K101" s="4"/>
      <c r="L101" s="11"/>
    </row>
    <row r="102" spans="1:12" ht="30" x14ac:dyDescent="0.25">
      <c r="A102" t="s">
        <v>93</v>
      </c>
      <c r="C102" t="s">
        <v>50</v>
      </c>
      <c r="F102" t="str" cm="1">
        <f t="array" aca="1" ref="F102" ca="1">_xlfn.CONCAT(_xlfn.TEXTSPLIT(CELL("address",L102),"$"))</f>
        <v>L102</v>
      </c>
      <c r="G102">
        <v>4</v>
      </c>
      <c r="K102" s="15" t="s">
        <v>101</v>
      </c>
      <c r="L102" s="12"/>
    </row>
    <row r="103" spans="1:12" x14ac:dyDescent="0.25">
      <c r="C103" t="s">
        <v>51</v>
      </c>
      <c r="K103" s="5"/>
      <c r="L103" s="12"/>
    </row>
    <row r="104" spans="1:12" ht="30" x14ac:dyDescent="0.25">
      <c r="A104" t="s">
        <v>94</v>
      </c>
      <c r="C104" t="s">
        <v>50</v>
      </c>
      <c r="F104" t="str" cm="1">
        <f t="array" aca="1" ref="F104" ca="1">_xlfn.CONCAT(_xlfn.TEXTSPLIT(CELL("address",L104),"$"))</f>
        <v>L104</v>
      </c>
      <c r="G104">
        <v>4</v>
      </c>
      <c r="K104" s="14" t="s">
        <v>102</v>
      </c>
      <c r="L104" s="11"/>
    </row>
    <row r="105" spans="1:12" x14ac:dyDescent="0.25">
      <c r="C105" t="s">
        <v>51</v>
      </c>
      <c r="K105" s="4"/>
      <c r="L105" s="11"/>
    </row>
    <row r="106" spans="1:12" ht="45" x14ac:dyDescent="0.25">
      <c r="A106" t="s">
        <v>103</v>
      </c>
      <c r="C106" t="s">
        <v>50</v>
      </c>
      <c r="F106" t="str" cm="1">
        <f t="array" aca="1" ref="F106" ca="1">_xlfn.CONCAT(_xlfn.TEXTSPLIT(CELL("address",L106),"$"))</f>
        <v>L106</v>
      </c>
      <c r="G106">
        <v>5</v>
      </c>
      <c r="K106" s="15" t="s">
        <v>107</v>
      </c>
      <c r="L106" s="12"/>
    </row>
    <row r="107" spans="1:12" x14ac:dyDescent="0.25">
      <c r="C107" t="s">
        <v>51</v>
      </c>
      <c r="K107" s="5"/>
      <c r="L107" s="12"/>
    </row>
    <row r="108" spans="1:12" ht="45" x14ac:dyDescent="0.25">
      <c r="A108" t="s">
        <v>104</v>
      </c>
      <c r="C108" t="s">
        <v>50</v>
      </c>
      <c r="F108" t="str" cm="1">
        <f t="array" aca="1" ref="F108" ca="1">_xlfn.CONCAT(_xlfn.TEXTSPLIT(CELL("address",L108),"$"))</f>
        <v>L108</v>
      </c>
      <c r="G108">
        <v>5</v>
      </c>
      <c r="K108" s="14" t="s">
        <v>108</v>
      </c>
      <c r="L108" s="11"/>
    </row>
    <row r="109" spans="1:12" x14ac:dyDescent="0.25">
      <c r="C109" t="s">
        <v>51</v>
      </c>
      <c r="K109" s="4"/>
      <c r="L109" s="11"/>
    </row>
    <row r="110" spans="1:12" x14ac:dyDescent="0.25">
      <c r="C110" t="s">
        <v>78</v>
      </c>
      <c r="K110" s="4"/>
      <c r="L110" s="11"/>
    </row>
    <row r="111" spans="1:12" x14ac:dyDescent="0.25">
      <c r="A111" t="s">
        <v>105</v>
      </c>
      <c r="K111" s="5"/>
      <c r="L111" s="12"/>
    </row>
    <row r="112" spans="1:12" x14ac:dyDescent="0.25">
      <c r="K112" s="4"/>
      <c r="L112" s="11"/>
    </row>
    <row r="113" spans="1:12" x14ac:dyDescent="0.25">
      <c r="A113" t="s">
        <v>106</v>
      </c>
      <c r="K113" s="5"/>
      <c r="L113" s="12"/>
    </row>
    <row r="114" spans="1:12" x14ac:dyDescent="0.25">
      <c r="K114" s="4"/>
      <c r="L114" s="11"/>
    </row>
    <row r="115" spans="1:12" x14ac:dyDescent="0.25">
      <c r="K115" s="5"/>
      <c r="L115" s="12"/>
    </row>
    <row r="116" spans="1:12" x14ac:dyDescent="0.25">
      <c r="K116" s="4"/>
      <c r="L116" s="11"/>
    </row>
    <row r="117" spans="1:12" x14ac:dyDescent="0.25">
      <c r="K117" s="5"/>
      <c r="L117" s="12"/>
    </row>
    <row r="118" spans="1:12" x14ac:dyDescent="0.25">
      <c r="K118" s="4"/>
      <c r="L118" s="11"/>
    </row>
    <row r="119" spans="1:12" x14ac:dyDescent="0.25">
      <c r="K119" s="5"/>
      <c r="L119" s="12"/>
    </row>
    <row r="120" spans="1:12" x14ac:dyDescent="0.25">
      <c r="K120" s="16" t="s">
        <v>109</v>
      </c>
      <c r="L120" s="16"/>
    </row>
  </sheetData>
  <mergeCells count="10">
    <mergeCell ref="K1:L1"/>
    <mergeCell ref="K10:L10"/>
    <mergeCell ref="K15:L15"/>
    <mergeCell ref="K26:L26"/>
    <mergeCell ref="K20:L20"/>
    <mergeCell ref="K78:L78"/>
    <mergeCell ref="K120:L120"/>
    <mergeCell ref="K49:L49"/>
    <mergeCell ref="K36:L36"/>
    <mergeCell ref="K41:L41"/>
  </mergeCells>
  <phoneticPr fontId="5" type="noConversion"/>
  <conditionalFormatting sqref="A2:C2 I2:J2">
    <cfRule type="expression" dxfId="70" priority="120">
      <formula>NOT(ISBLANK(A2))</formula>
    </cfRule>
    <cfRule type="expression" dxfId="69" priority="217">
      <formula>ISBLANK(A2)</formula>
    </cfRule>
  </conditionalFormatting>
  <conditionalFormatting sqref="A3:C3 I3:J3">
    <cfRule type="expression" dxfId="68" priority="119">
      <formula>NOT(ISBLANK(A3))</formula>
    </cfRule>
    <cfRule type="expression" dxfId="67" priority="216">
      <formula>ISBLANK(A3)</formula>
    </cfRule>
  </conditionalFormatting>
  <conditionalFormatting sqref="C135">
    <cfRule type="expression" dxfId="66" priority="121">
      <formula>ISBLANK(C135)</formula>
    </cfRule>
  </conditionalFormatting>
  <conditionalFormatting sqref="A4:C4 A6:C6 A8:C8 A10:C10 A12:C12 A14:C14 A16:C16 A18:C18 A20:C20 A22:C22 A24:C24 A26:C26 A28:C28 A30:C30 A32:C32 A34:C34 A36:C36 A38:C38 A40:C40 A42:C42 A44:C44 A46:C46 A48:C48 A50:C50 A52:C52 A54:C54 A56:C56 A58:C58 A60:C60 I4:J4 I60:J60 I58:J58 I56:J56 I54:J54 I52:J52 I50:J50 I48:J48 I46:J46 I44:J44 I42:J42 I40:J40 I38:J38 I36:J36 I34:J34 I32:J32 I30:J30 I28:J28 I26:J26 I24:J24 I22:J22 I20:J20 I18:J18 I16:J16 I14:J14 I12:J12 I10:J10 I8:J8 I6:J6">
    <cfRule type="expression" dxfId="65" priority="116">
      <formula>NOT(ISBLANK(A4))</formula>
    </cfRule>
    <cfRule type="expression" dxfId="64" priority="118">
      <formula>ISBLANK(A4)</formula>
    </cfRule>
  </conditionalFormatting>
  <conditionalFormatting sqref="A5:C5 A7:C7 A9:C9 A11:C11 A13:C13 A15:C15 A17:C17 A19:C19 A21:C21 A23:C23 A25:C25 A27:C27 A29:C29 A31:C31 A33:C33 A35:C35 A37:C37 A39:C39 A41:C41 A43:C43 A45:C45 A47:C47 A49:C49 A51:C51 A53:C53 A55:C55 A57:C57 A59:C59 A61:C61 A77:C77 A93:C93 A109:C109 A125:C125 A63:C63 A79:C79 A95:C95 A111:C111 A127:C127 A65:C65 A81:C81 A97:C97 A113:C113 A129:C129 A67:C67 A83:C83 A99:C99 A115:C115 A131:C131 A69:C69 A85:C85 A101:C101 A117:C117 A133:C133 A71:C71 A87:C87 A103:C103 A119:C119 A73:C73 A89:C89 A105:C105 A121:C121 A75:C75 A91:C91 A107:C107 A123:C123 I5:J5 I123:J123 I107:J107 I91:J91 I75:J75 I121:J121 I105:J105 I89:J89 I73:J73 I119:J119 I103:J103 I87:J87 I71:J71 I133:J133 I117:J117 I101:J101 I85:J85 I69:J69 I131:J131 I115:J115 I99:J99 I83:J83 I67:J67 I129:J129 I113:J113 I97:J97 I81:J81 I65:J65 I127:J127 I111:J111 I95:J95 I79:J79 I63:J63 I125:J125 I109:J109 I93:J93 I77:J77 I61:J61 I59:J59 I57:J57 I55:J55 I53:J53 I51:J51 I49:J49 I47:J47 I45:J45 I43:J43 I41:J41 I39:J39 I37:J37 I35:J35 I33:J33 I31:J31 I29:J29 I27:J27 I25:J25 I23:J23 I21:J21 I19:J19 I17:J17 I15:J15 I13:J13 I11:J11 I9:J9 I7:J7">
    <cfRule type="expression" dxfId="63" priority="115">
      <formula>NOT(ISBLANK(A5))</formula>
    </cfRule>
    <cfRule type="expression" dxfId="62" priority="117">
      <formula>ISBLANK(A5)</formula>
    </cfRule>
  </conditionalFormatting>
  <conditionalFormatting sqref="A62:C62 A78:C78 A94:C94 A110:C110 A126:C126 A64:C64 A80:C80 A96:C96 A112:C112 A128:C128 A66:C66 A82:C82 A98:C98 A114:C114 A130:C130 A68:C68 A84:C84 A100:C100 A116:C116 A132:C132 A70:C70 A86:C86 A102:C102 A118:C118 A134:C134 A72:C72 A88:C88 A104:C104 A120:C120 A74:C74 A90:C90 A106:C106 A122:C122 A76:C76 A92:C92 A108:C108 A124:C124 I124:J124 I108:J108 I92:J92 I76:J76 I122:J122 I106:J106 I90:J90 I74:J74 I120:J120 I104:J104 I88:J88 I72:J72 I134:J134 I118:J118 I102:J102 I86:J86 I70:J70 I132:J132 I116:J116 I100:J100 I84:J84 I68:J68 I130:J130 I114:J114 I98:J98 I82:J82 I66:J66 I128:J128 I112:J112 I96:J96 I80:J80 I64:J64 I126:J126 I110:J110 I94:J94 I78:J78 I62:J62">
    <cfRule type="expression" dxfId="61" priority="113">
      <formula>NOT(ISBLANK(A62))</formula>
    </cfRule>
    <cfRule type="expression" dxfId="60" priority="114">
      <formula>ISBLANK(A62)</formula>
    </cfRule>
  </conditionalFormatting>
  <conditionalFormatting sqref="D3:E3 D5 D7 D9 D11 D13 D15 D17 D19 D21 D23 D25 D27 D29 D31 D33 D35 D37 D39 D41 D43 D45 D47 D49 D51 D53 D55 D57 D59 D61 D63 D65 D67 D69 D71 D73 D75 D77 D79 D81 D83 D85 D87 D89 D91 D93 D95 D97 D99 D101 D103 D105 D107 D109 D111 D113 D115 D117 D119 D121 D123 D125 D127 D129 D131 D133">
    <cfRule type="expression" dxfId="59" priority="103">
      <formula>AND(ISBLANK($A3),ISBLANK($C3))</formula>
    </cfRule>
    <cfRule type="expression" dxfId="58" priority="104">
      <formula>NOT(ISBLANK(D3))</formula>
    </cfRule>
    <cfRule type="expression" dxfId="57" priority="109">
      <formula>ISBLANK(D3)</formula>
    </cfRule>
  </conditionalFormatting>
  <conditionalFormatting sqref="D2:E2 D4 D6 D8 D10 D12 D14 D16 D18 D20 D22 D24 D26 D28 D30 D32 D34 D36 D38 D40 D42 D44 D46 D48 D50 D52 D54 D56 D58 D60 D62 D64 D66 D68 D70 D72 D74 D76 D78 D80 D82 D84 D86 D88 D90 D92 D94 D96 D98 D100 D102 D104 D106 D108 D110 D112 D114 D116 D118 D120 D122 D124 D126 D128 D130 D132 D134">
    <cfRule type="expression" dxfId="56" priority="106">
      <formula>AND(ISBLANK($A2),ISBLANK($C2))</formula>
    </cfRule>
    <cfRule type="expression" dxfId="55" priority="107">
      <formula>NOT(ISBLANK(D2))</formula>
    </cfRule>
    <cfRule type="expression" dxfId="54" priority="108">
      <formula>ISBLANK(D2)</formula>
    </cfRule>
  </conditionalFormatting>
  <conditionalFormatting sqref="F5 F7 F9 F11 F13 F15 F17 F19 F21 F23 F25 F27 F29 F31 F33 F35 F37 F39 F41 F43 F45 F47 F49 F51 F53 F55 F57 F59 F61 F63 F65 F67 F69 F71 F73 F75 F77 F79 F81 F83 F85 F87 F89 F91 F93 F95 F97 F99 F101 F103 F105 F107 F109 F111 F113 F115 F117 F119 F121 F123 F125 F127 F129 F131 F133">
    <cfRule type="expression" dxfId="53" priority="55">
      <formula>ISBLANK(A5)</formula>
    </cfRule>
    <cfRule type="expression" dxfId="52" priority="56">
      <formula>NOT(ISBLANK(F5))</formula>
    </cfRule>
    <cfRule type="expression" dxfId="51" priority="60">
      <formula>ISBLANK(F5)</formula>
    </cfRule>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cfRule type="expression" dxfId="50" priority="57">
      <formula>ISBLANK(A4)</formula>
    </cfRule>
    <cfRule type="expression" dxfId="49" priority="58">
      <formula>NOT(ISBLANK(F4))</formula>
    </cfRule>
    <cfRule type="expression" dxfId="48" priority="59">
      <formula>ISBLANK(F4)</formula>
    </cfRule>
  </conditionalFormatting>
  <conditionalFormatting sqref="E5 E7 E9 E11 E13 E15 E17 E19 E21 E23 E25 E27 E29 E31 E33 E35 E37 E39 E41 E43 E45 E47 E49 E51 E53 E55 E57 E59 E61 E63 E65 E67 E69 E71 E73 E75 E77 E79 E81 E83 E85 E87 E89 E91 E93 E95 E97 E99 E101 E103 E105 E107 E109 E111 E113 E115 E117 E119 E121 E123 E125 E127 E129 E131 E133">
    <cfRule type="expression" dxfId="47" priority="25">
      <formula>AND(ISBLANK($A5),ISBLANK($C5))</formula>
    </cfRule>
    <cfRule type="expression" dxfId="46" priority="26">
      <formula>NOT(ISBLANK(E5))</formula>
    </cfRule>
    <cfRule type="expression" dxfId="45" priority="30">
      <formula>ISBLANK(E5)</formula>
    </cfRule>
  </conditionalFormatting>
  <conditionalFormatting sqref="E4 E6 E8 E10 E12 E14 E16 E18 E20 E22 E24 E26 E28 E30 E32 E34 E36 E38 E40 E42 E44 E46 E48 E50 E52 E54 E56 E58 E60 E62 E64 E66 E68 E70 E72 E74 E76 E78 E80 E82 E84 E86 E88 E90 E92 E94 E96 E98 E100 E102 E104 E106 E108 E110 E112 E114 E116 E118 E120 E122 E124 E126 E128 E130 E132 E134">
    <cfRule type="expression" dxfId="44" priority="27">
      <formula>AND(ISBLANK($A4),ISBLANK($C4))</formula>
    </cfRule>
    <cfRule type="expression" dxfId="43" priority="28">
      <formula>NOT(ISBLANK(E4))</formula>
    </cfRule>
    <cfRule type="expression" dxfId="42" priority="29">
      <formula>ISBLANK(E4)</formula>
    </cfRule>
  </conditionalFormatting>
  <conditionalFormatting sqref="F3:H3 H5 H7 H9 H11 H13 H15 H17 H19 H21 H23 H25 H27 H29 H31 H33 H35 H37 H39 H41 H43 H45 H47 H49 H51 H53 H55 H57 H59 H61 H63 H65 H67 H69 H71 H73 H75 H77 H79 H81 H83 H85 H87 H89 H91 H93 H95 H97 H99 H101 H103 H105 H107 H109 H111 H113 H115 H117 H119 H121 H123 H125 H127 H129 H131 H133">
    <cfRule type="expression" dxfId="41" priority="22">
      <formula>ISBLANK($A3)</formula>
    </cfRule>
    <cfRule type="expression" dxfId="40" priority="23">
      <formula>NOT(ISBLANK(F3))</formula>
    </cfRule>
    <cfRule type="expression" dxfId="39" priority="24">
      <formula>ISBLANK(F3)</formula>
    </cfRule>
  </conditionalFormatting>
  <conditionalFormatting sqref="F2:H2 H4 H6 H8 H10 H12 H14 H16 H18 H20 H22 H24 H26 H28 H30 H32 H34 H36 H38 H40 H42 H44 H46 H48 H50 H52 H54 H56 H58 H60 H62 H64 H66 H68 H70 H72 H74 H76 H78 H80 H82 H84 H86 H88 H90 H92 H94 H96 H98 H100 H102 H104 H106 H108 H110 H112 H114 H116 H118 H120 H122 H124 H126 H128 H130 H132 H134">
    <cfRule type="expression" dxfId="38" priority="19">
      <formula>ISBLANK($A2)</formula>
    </cfRule>
    <cfRule type="expression" dxfId="37" priority="20">
      <formula>NOT(ISBLANK(F2))</formula>
    </cfRule>
    <cfRule type="expression" dxfId="36" priority="21">
      <formula>ISBLANK(F2)</formula>
    </cfRule>
  </conditionalFormatting>
  <conditionalFormatting sqref="G5 G7 G9 G11 G13 G15 G17 G19 G21 G23 G25 G27 G29 G31 G33 G35 G37 G39 G41 G43 G45 G47 G49 G51 G53 G55 G57 G59 G61 G63 G65 G67 G69 G71 G73 G75 G77 G79 G81 G83 G85 G87 G89 G91 G93 G95 G97 G99 G101 G103 G105 G107 G109 G111 G113 G115 G117 G119 G121 G123 G125 G127 G129 G131 G133">
    <cfRule type="expression" dxfId="17" priority="4">
      <formula>ISBLANK($A5)</formula>
    </cfRule>
    <cfRule type="expression" dxfId="16" priority="5">
      <formula>NOT(ISBLANK(G5))</formula>
    </cfRule>
    <cfRule type="expression" dxfId="15" priority="6">
      <formula>ISBLANK(G5)</formula>
    </cfRule>
  </conditionalFormatting>
  <conditionalFormatting sqref="G4 G6 G8 G10 G12 G14 G16 G18 G20 G22 G24 G26 G28 G30 G32 G34 G36 G38 G40 G42 G44 G46 G48 G50 G52 G54 G56 G58 G60 G62 G64 G66 G68 G70 G72 G74 G76 G78 G80 G82 G84 G86 G88 G90 G92 G94 G96 G98 G100 G102 G104 G106 G108 G110 G112 G114 G116 G118 G120 G122 G124 G126 G128 G130 G132 G134">
    <cfRule type="expression" dxfId="14" priority="1">
      <formula>ISBLANK($A4)</formula>
    </cfRule>
    <cfRule type="expression" dxfId="13" priority="2">
      <formula>NOT(ISBLANK(G4))</formula>
    </cfRule>
    <cfRule type="expression" dxfId="12" priority="3">
      <formula>ISBLANK(G4)</formula>
    </cfRule>
  </conditionalFormatting>
  <dataValidations count="16">
    <dataValidation type="list" allowBlank="1" showInputMessage="1" showErrorMessage="1" sqref="L2" xr:uid="{DBDA0B2E-73C7-461D-9A78-8C9C0FC3C8EE}">
      <formula1>$C$2:$C$6</formula1>
    </dataValidation>
    <dataValidation type="list" allowBlank="1" showInputMessage="1" showErrorMessage="1" sqref="L29" xr:uid="{2A4FBB3A-AF25-40CF-A7C5-68C363A144AC}">
      <formula1>$C$29:$C$33</formula1>
    </dataValidation>
    <dataValidation type="list" allowBlank="1" showInputMessage="1" showErrorMessage="1" sqref="L34" xr:uid="{4F3AB38D-0522-46BE-8207-6886168C0716}">
      <formula1>$C$34:$C$35</formula1>
    </dataValidation>
    <dataValidation type="list" allowBlank="1" showInputMessage="1" showErrorMessage="1" sqref="L43" xr:uid="{C7C9BACE-9E87-4F51-B7AA-AF028398DF42}">
      <formula1>$C$43:$C$44</formula1>
    </dataValidation>
    <dataValidation type="list" allowBlank="1" showInputMessage="1" showErrorMessage="1" sqref="L61" xr:uid="{3E2DD406-56CF-445C-BD6B-86CB8C7B00BA}">
      <formula1>$C$61:$C$62</formula1>
    </dataValidation>
    <dataValidation type="list" allowBlank="1" showInputMessage="1" showErrorMessage="1" sqref="L68" xr:uid="{2281ACFD-B768-49F6-AC73-6654DDA39B30}">
      <formula1>$C$68:$C$69</formula1>
    </dataValidation>
    <dataValidation type="list" allowBlank="1" showInputMessage="1" showErrorMessage="1" sqref="L63" xr:uid="{8C1D64B0-BEF7-4B52-B632-2C0C338A42F7}">
      <formula1>$C$63:$C$67</formula1>
    </dataValidation>
    <dataValidation type="list" allowBlank="1" showInputMessage="1" showErrorMessage="1" sqref="L79" xr:uid="{6C1903ED-8B8C-48BC-919C-F2058E6A8659}">
      <formula1>$C$79:$C$81</formula1>
    </dataValidation>
    <dataValidation type="list" allowBlank="1" showInputMessage="1" showErrorMessage="1" sqref="L82" xr:uid="{ACFB3B64-C620-4E47-92D2-33CF0053623A}">
      <formula1>$C$82:$C$83</formula1>
    </dataValidation>
    <dataValidation type="list" allowBlank="1" showInputMessage="1" showErrorMessage="1" sqref="L84" xr:uid="{5EDB7A92-9ABD-414D-853E-147436B3DF5B}">
      <formula1>$C$84:$C$85</formula1>
    </dataValidation>
    <dataValidation type="list" allowBlank="1" showInputMessage="1" showErrorMessage="1" sqref="L86" xr:uid="{F4A03EBA-03ED-4032-A0D1-343727C4795F}">
      <formula1>$C$86:$C$87</formula1>
    </dataValidation>
    <dataValidation type="list" allowBlank="1" showInputMessage="1" showErrorMessage="1" sqref="L88" xr:uid="{E8E2CD95-F50E-4FF7-ABC6-86296DBBA686}">
      <formula1>$C$88:$C$89</formula1>
    </dataValidation>
    <dataValidation type="list" allowBlank="1" showInputMessage="1" showErrorMessage="1" sqref="L90" xr:uid="{0B1BA240-F98F-432F-848E-5BB4A2491089}">
      <formula1>$C$90:$C$91</formula1>
    </dataValidation>
    <dataValidation type="list" allowBlank="1" showInputMessage="1" showErrorMessage="1" sqref="L92" xr:uid="{BA661406-18B5-499D-805E-2915FA9F0DF9}">
      <formula1>$C$92:$C$93</formula1>
    </dataValidation>
    <dataValidation type="list" allowBlank="1" showInputMessage="1" showErrorMessage="1" sqref="L94" xr:uid="{9F5640E1-D879-422F-A55D-D83374471FF5}">
      <formula1>$C$94:$C$96</formula1>
    </dataValidation>
    <dataValidation type="list" allowBlank="1" showInputMessage="1" showErrorMessage="1" sqref="L97" xr:uid="{2BC6887D-D646-42E9-A274-3D9790A1E66B}">
      <formula1>$C$97:$C$98</formula1>
    </dataValidation>
  </dataValidations>
  <hyperlinks>
    <hyperlink ref="L48" r:id="rId1" display="taiowaldhaus@amegroup.ca" xr:uid="{B84E6FEE-33BC-4288-AD55-211E55B7037A}"/>
  </hyperlinks>
  <pageMargins left="0.7" right="0.7" top="0.75" bottom="0.75" header="0.3" footer="0.3"/>
  <pageSetup orientation="portrait" horizontalDpi="300" verticalDpi="300" r:id="rId2"/>
  <extLst>
    <ext xmlns:x14="http://schemas.microsoft.com/office/spreadsheetml/2009/9/main" uri="{CCE6A557-97BC-4b89-ADB6-D9C93CAAB3DF}">
      <x14:dataValidations xmlns:xm="http://schemas.microsoft.com/office/excel/2006/main" count="7">
        <x14:dataValidation type="list" allowBlank="1" showInputMessage="1" showErrorMessage="1" xr:uid="{E16A27BC-15E6-475F-BB89-94A0C07741A8}">
          <x14:formula1>
            <xm:f>Backend!$B$2:$B$6</xm:f>
          </x14:formula1>
          <xm:sqref>L30:L33</xm:sqref>
        </x14:dataValidation>
        <x14:dataValidation type="list" allowBlank="1" showInputMessage="1" showErrorMessage="1" xr:uid="{B3132453-0252-43A7-BEC0-13862065EF0E}">
          <x14:formula1>
            <xm:f>Backend!$C$2:$C$3</xm:f>
          </x14:formula1>
          <xm:sqref>L35</xm:sqref>
        </x14:dataValidation>
        <x14:dataValidation type="list" allowBlank="1" showInputMessage="1" showErrorMessage="1" xr:uid="{30E8FBE2-C2FC-4B6D-9F98-1AD125B8C425}">
          <x14:formula1>
            <xm:f>Backend!$E$2:$E$3</xm:f>
          </x14:formula1>
          <xm:sqref>L44</xm:sqref>
        </x14:dataValidation>
        <x14:dataValidation type="list" allowBlank="1" showInputMessage="1" showErrorMessage="1" xr:uid="{D7F0EB7B-BBFF-45D3-B222-8DBEA2A4E2AA}">
          <x14:formula1>
            <xm:f>Backend!$F$2:$F$3</xm:f>
          </x14:formula1>
          <xm:sqref>L62 L69</xm:sqref>
        </x14:dataValidation>
        <x14:dataValidation type="list" allowBlank="1" showInputMessage="1" showErrorMessage="1" xr:uid="{85EB1F5D-2C0D-4619-81F3-F49B63FA8937}">
          <x14:formula1>
            <xm:f>Backend!$G$2:$G$6</xm:f>
          </x14:formula1>
          <xm:sqref>L64:L67</xm:sqref>
        </x14:dataValidation>
        <x14:dataValidation type="list" allowBlank="1" showInputMessage="1" showErrorMessage="1" xr:uid="{3BF7E381-8828-457B-A727-E2C5CC93B0AF}">
          <x14:formula1>
            <xm:f>Backend!$H$2:$H$6</xm:f>
          </x14:formula1>
          <xm:sqref>L73:L77</xm:sqref>
        </x14:dataValidation>
        <x14:dataValidation type="list" allowBlank="1" showInputMessage="1" showErrorMessage="1" xr:uid="{F3641AE7-F3E1-4130-BA9D-61DF5A2A44B2}">
          <x14:formula1>
            <xm:f>Backend!$I$2:$I$3</xm:f>
          </x14:formula1>
          <xm:sqref>B99 B78:B79 B82 B84 B86 B88 B90 B92 B94 B97 B2:B73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0A74-45BA-42EE-9251-9C730233F3C6}">
  <sheetPr codeName="Sheet2"/>
  <dimension ref="A1:I1"/>
  <sheetViews>
    <sheetView workbookViewId="0">
      <selection activeCell="K11" sqref="G1:K11"/>
    </sheetView>
  </sheetViews>
  <sheetFormatPr defaultRowHeight="15" x14ac:dyDescent="0.25"/>
  <cols>
    <col min="1" max="1" width="17.5703125" bestFit="1" customWidth="1"/>
    <col min="2" max="2" width="16.140625" bestFit="1" customWidth="1"/>
    <col min="3" max="3" width="15.28515625" bestFit="1" customWidth="1"/>
    <col min="4" max="4" width="15.85546875" bestFit="1" customWidth="1"/>
    <col min="5" max="5" width="23.42578125" bestFit="1" customWidth="1"/>
    <col min="7" max="7" width="21.140625" customWidth="1"/>
    <col min="8" max="8" width="18" bestFit="1" customWidth="1"/>
    <col min="9" max="9" width="20.5703125" bestFit="1" customWidth="1"/>
  </cols>
  <sheetData>
    <row r="1" spans="1:9" x14ac:dyDescent="0.25">
      <c r="A1" s="1"/>
      <c r="B1" s="1"/>
      <c r="C1" s="1"/>
      <c r="D1" s="1"/>
      <c r="E1" s="1"/>
      <c r="F1" s="1"/>
      <c r="G1" s="1"/>
      <c r="H1" s="1"/>
      <c r="I1" s="1"/>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Pool Data For Export</vt:lpstr>
      <vt:lpstr>Backend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Bennett Steers</dc:creator>
  <cp:lastModifiedBy>Bennett Steers</cp:lastModifiedBy>
  <dcterms:created xsi:type="dcterms:W3CDTF">2015-06-05T18:17:20Z</dcterms:created>
  <dcterms:modified xsi:type="dcterms:W3CDTF">2025-11-05T17:57:02Z</dcterms:modified>
</cp:coreProperties>
</file>