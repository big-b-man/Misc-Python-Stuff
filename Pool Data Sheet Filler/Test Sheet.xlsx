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4537e0bdef8c4a1e/Documents/GitHub/Misc-Python-Stuff/Pool Data Sheet Filler/"/>
    </mc:Choice>
  </mc:AlternateContent>
  <xr:revisionPtr revIDLastSave="232" documentId="13_ncr:1_{4922D1BC-07C8-4760-BE39-F55E3BEB786D}" xr6:coauthVersionLast="47" xr6:coauthVersionMax="47" xr10:uidLastSave="{AB0C5969-AE9A-4CC8-B7B9-2EF063783559}"/>
  <bookViews>
    <workbookView xWindow="28680" yWindow="-120" windowWidth="29040" windowHeight="15840" xr2:uid="{00000000-000D-0000-FFFF-FFFF00000000}"/>
  </bookViews>
  <sheets>
    <sheet name="Pool Data For Export" sheetId="1" r:id="rId1"/>
    <sheet name="Backend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5" i="1" l="1"/>
  <c r="E60" i="1"/>
  <c r="E61" i="1"/>
  <c r="E59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6" i="1"/>
  <c r="C45" i="1"/>
  <c r="C44" i="1"/>
  <c r="C43" i="1"/>
  <c r="C42" i="1"/>
  <c r="C41" i="1"/>
  <c r="C39" i="1"/>
  <c r="C38" i="1"/>
  <c r="C37" i="1"/>
  <c r="C36" i="1"/>
  <c r="C33" i="1"/>
  <c r="C28" i="1"/>
  <c r="C27" i="1"/>
  <c r="C26" i="1"/>
  <c r="C24" i="1"/>
  <c r="C23" i="1"/>
  <c r="C22" i="1"/>
  <c r="C20" i="1"/>
  <c r="C19" i="1"/>
  <c r="C18" i="1"/>
  <c r="C17" i="1"/>
  <c r="C15" i="1"/>
  <c r="C14" i="1"/>
  <c r="C13" i="1"/>
  <c r="C12" i="1"/>
  <c r="C10" i="1"/>
  <c r="C9" i="1"/>
  <c r="C8" i="1"/>
  <c r="C3" i="1"/>
  <c r="H57" i="1"/>
  <c r="H46" i="1"/>
  <c r="H45" i="1"/>
  <c r="H44" i="1"/>
  <c r="H41" i="1"/>
  <c r="H23" i="1"/>
  <c r="H27" i="1"/>
  <c r="H26" i="1"/>
  <c r="H10" i="1"/>
  <c r="H24" i="1" s="1"/>
</calcChain>
</file>

<file path=xl/sharedStrings.xml><?xml version="1.0" encoding="utf-8"?>
<sst xmlns="http://schemas.openxmlformats.org/spreadsheetml/2006/main" count="185" uniqueCount="103">
  <si>
    <t>Fraser</t>
  </si>
  <si>
    <t>Interior</t>
  </si>
  <si>
    <t>Island</t>
  </si>
  <si>
    <t>Northern</t>
  </si>
  <si>
    <t>Coastal</t>
  </si>
  <si>
    <t>Name</t>
  </si>
  <si>
    <t>Application To:</t>
  </si>
  <si>
    <t>Name of Pool</t>
  </si>
  <si>
    <t>Date</t>
  </si>
  <si>
    <t>1175 Douglas St #912, Victoria, BC V8W 2E1</t>
  </si>
  <si>
    <t>Street Adress</t>
  </si>
  <si>
    <t>AME test pool</t>
  </si>
  <si>
    <t>Address</t>
  </si>
  <si>
    <t>Phone Number</t>
  </si>
  <si>
    <t>Email</t>
  </si>
  <si>
    <t>John Doe</t>
  </si>
  <si>
    <t>638 Smithe St Suite 200, Vancouver, BC V6B 1E3</t>
  </si>
  <si>
    <t>098-765-4321</t>
  </si>
  <si>
    <t>random@icould.com</t>
  </si>
  <si>
    <t>General Information</t>
  </si>
  <si>
    <t>Name of Pool:</t>
  </si>
  <si>
    <t>Civic Address:</t>
  </si>
  <si>
    <t>Pool Type:</t>
  </si>
  <si>
    <t>Indoor/Outdoor</t>
  </si>
  <si>
    <t>Public Pool</t>
  </si>
  <si>
    <t>Commercial Pool</t>
  </si>
  <si>
    <t>Hot Tub</t>
  </si>
  <si>
    <t>Spray Pool</t>
  </si>
  <si>
    <t>Wading Pool</t>
  </si>
  <si>
    <t>Indoor</t>
  </si>
  <si>
    <t>Outdoor</t>
  </si>
  <si>
    <t>Health Authority</t>
  </si>
  <si>
    <t>Owner's Confirmation of Commitment</t>
  </si>
  <si>
    <t>Owner Name</t>
  </si>
  <si>
    <t>Notes</t>
  </si>
  <si>
    <t>Contact Information: Owner or Agent</t>
  </si>
  <si>
    <t>Contact Information: Person Applying for Construction Permit</t>
  </si>
  <si>
    <t>Normally Filled out by owner, can be left blank</t>
  </si>
  <si>
    <t>Owner Information</t>
  </si>
  <si>
    <t>Designer Information (Append additional information for multiple designers)</t>
  </si>
  <si>
    <t>Company (Legal Corporate)</t>
  </si>
  <si>
    <t>The AME Consulting Group</t>
  </si>
  <si>
    <t>Professional Designation</t>
  </si>
  <si>
    <t>PEng</t>
  </si>
  <si>
    <t>General Pool Parameters</t>
  </si>
  <si>
    <t>Pool Volume: (m^3)</t>
  </si>
  <si>
    <t>Turnover: (hours)</t>
  </si>
  <si>
    <t>Design Re-circulation Flow Rate: (L/sec)</t>
  </si>
  <si>
    <t>Pool Area (m^2)</t>
  </si>
  <si>
    <t>Deck Area (m^2)</t>
  </si>
  <si>
    <t>Minimum Water Depth</t>
  </si>
  <si>
    <t>Maximum Water Depth</t>
  </si>
  <si>
    <t>Shallow Bathing Load</t>
  </si>
  <si>
    <t>Deep Bathing Load</t>
  </si>
  <si>
    <t>Total Bathing Load</t>
  </si>
  <si>
    <t>Pool Basin Color</t>
  </si>
  <si>
    <t>Complies with Pool Regulations</t>
  </si>
  <si>
    <t>Yes/No</t>
  </si>
  <si>
    <t>Yes</t>
  </si>
  <si>
    <t>No</t>
  </si>
  <si>
    <t>Filters</t>
  </si>
  <si>
    <t>Modify Cell to exclude ramps</t>
  </si>
  <si>
    <t>Sand</t>
  </si>
  <si>
    <t>Pressure</t>
  </si>
  <si>
    <t>Vacuum</t>
  </si>
  <si>
    <t>Gravity</t>
  </si>
  <si>
    <t>NSF Approved</t>
  </si>
  <si>
    <t>Pressure Gauge Quantity</t>
  </si>
  <si>
    <t>Vacuum Gauge Quantity</t>
  </si>
  <si>
    <t>Temperature Gauge Quantity</t>
  </si>
  <si>
    <t>Disinfection</t>
  </si>
  <si>
    <t>Hypochlorite</t>
  </si>
  <si>
    <t>Chlorine Gas</t>
  </si>
  <si>
    <t>Stabilized Chlorine</t>
  </si>
  <si>
    <t>Bromine</t>
  </si>
  <si>
    <t>Other</t>
  </si>
  <si>
    <t>Blue</t>
  </si>
  <si>
    <t>D.E.</t>
  </si>
  <si>
    <t>Default Settings</t>
  </si>
  <si>
    <t>font size</t>
  </si>
  <si>
    <t>PDF Path</t>
  </si>
  <si>
    <t>Filled PDF Path</t>
  </si>
  <si>
    <t>Prompt For Save Path</t>
  </si>
  <si>
    <t>Spreadsheet Path</t>
  </si>
  <si>
    <t>Spreadsheet Sheet Name</t>
  </si>
  <si>
    <t>text x offset</t>
  </si>
  <si>
    <t>text y offset</t>
  </si>
  <si>
    <t>checkbox size</t>
  </si>
  <si>
    <t>checkbox line width</t>
  </si>
  <si>
    <t>Pool-construction-permit-application-form.pdf</t>
  </si>
  <si>
    <t>Filled Data Sheet.pdf</t>
  </si>
  <si>
    <t>Test Sheet.xlsx</t>
  </si>
  <si>
    <t>Pool Data For Export</t>
  </si>
  <si>
    <t>type</t>
  </si>
  <si>
    <t>string</t>
  </si>
  <si>
    <t>multiChoiceCheckbox</t>
  </si>
  <si>
    <t>multi choice options</t>
  </si>
  <si>
    <t>insertion coordinates</t>
  </si>
  <si>
    <t>41,158</t>
  </si>
  <si>
    <t>257,158</t>
  </si>
  <si>
    <t>162,158</t>
  </si>
  <si>
    <t>369,158</t>
  </si>
  <si>
    <t>482,158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</si>
</sst>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rgb="FFFFFFCC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0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2" applyNumberFormat="0" applyFont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3" fillId="4" borderId="0" xfId="3"/>
    <xf numFmtId="0" fontId="3" fillId="3" borderId="0" xfId="2"/>
    <xf numFmtId="0" fontId="3" fillId="5" borderId="0" xfId="4"/>
    <xf numFmtId="0" fontId="1" fillId="4" borderId="0" xfId="3" applyFont="1"/>
    <xf numFmtId="0" fontId="1" fillId="5" borderId="0" xfId="4" applyFont="1"/>
    <xf numFmtId="0" fontId="3" fillId="6" borderId="0" xfId="5"/>
    <xf numFmtId="14" fontId="3" fillId="6" borderId="0" xfId="5" applyNumberFormat="1" applyAlignment="1">
      <alignment horizontal="left"/>
    </xf>
    <xf numFmtId="0" fontId="3" fillId="8" borderId="0" xfId="7"/>
    <xf numFmtId="0" fontId="0" fillId="7" borderId="2" xfId="6" applyFont="1"/>
    <xf numFmtId="0" fontId="3" fillId="4" borderId="1" xfId="3" applyBorder="1"/>
    <xf numFmtId="14" fontId="3" fillId="5" borderId="1" xfId="4" applyNumberFormat="1" applyBorder="1" applyAlignment="1">
      <alignment horizontal="left"/>
    </xf>
    <xf numFmtId="0" fontId="3" fillId="3" borderId="0" xfId="2" applyAlignment="1">
      <alignment horizontal="left"/>
    </xf>
    <xf numFmtId="0" fontId="3" fillId="6" borderId="0" xfId="5" applyAlignment="1">
      <alignment horizontal="left"/>
    </xf>
    <xf numFmtId="0" fontId="3" fillId="5" borderId="0" xfId="4" applyAlignment="1">
      <alignment horizontal="left"/>
    </xf>
    <xf numFmtId="0" fontId="4" fillId="2" borderId="0" xfId="1" applyFont="1" applyAlignment="1">
      <alignment horizontal="center"/>
    </xf>
    <xf numFmtId="0" fontId="4" fillId="2" borderId="0" xfId="1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9" borderId="0" xfId="8"/>
    <xf numFmtId="0" fontId="3" fillId="9" borderId="0" xfId="8" applyAlignment="1">
      <alignment horizontal="left"/>
    </xf>
    <xf numFmtId="0" fontId="3" fillId="10" borderId="0" xfId="9"/>
    <xf numFmtId="0" fontId="3" fillId="10" borderId="0" xfId="9" applyAlignment="1">
      <alignment horizontal="left"/>
    </xf>
    <xf numFmtId="49" fontId="0" fillId="0" borderId="0" xfId="0" applyNumberFormat="1"/>
    <xf numFmtId="49" fontId="0" fillId="0" borderId="0" xfId="0" applyNumberFormat="1" applyAlignment="1">
      <alignment horizontal="left"/>
    </xf>
  </cellXfs>
  <cellStyles count="10">
    <cellStyle name="20% - Accent2" xfId="8" builtinId="34"/>
    <cellStyle name="20% - Accent5" xfId="2" builtinId="46"/>
    <cellStyle name="20% - Accent6" xfId="3" builtinId="50"/>
    <cellStyle name="40% - Accent2" xfId="9" builtinId="35"/>
    <cellStyle name="40% - Accent5" xfId="5" builtinId="47"/>
    <cellStyle name="40% - Accent6" xfId="4" builtinId="51"/>
    <cellStyle name="60% - Accent6" xfId="7" builtinId="52"/>
    <cellStyle name="Accent6" xfId="1" builtinId="49"/>
    <cellStyle name="Normal" xfId="0" builtinId="0"/>
    <cellStyle name="Note" xfId="6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andom@icould.com" TargetMode="External"/><Relationship Id="rId2" Type="http://schemas.openxmlformats.org/officeDocument/2006/relationships/hyperlink" Target="mailto:random@icould.com" TargetMode="External"/><Relationship Id="rId1" Type="http://schemas.openxmlformats.org/officeDocument/2006/relationships/hyperlink" Target="mailto:random@icould.com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65"/>
  <sheetViews>
    <sheetView tabSelected="1" topLeftCell="B1" zoomScale="85" zoomScaleNormal="85" workbookViewId="0">
      <selection activeCell="C10" sqref="C10"/>
    </sheetView>
  </sheetViews>
  <sheetFormatPr defaultRowHeight="15" x14ac:dyDescent="0.25"/>
  <cols>
    <col min="1" max="1" width="23.85546875" bestFit="1" customWidth="1"/>
    <col min="2" max="2" width="51.5703125" customWidth="1"/>
    <col min="3" max="3" width="150.28515625" bestFit="1" customWidth="1"/>
    <col min="4" max="4" width="20.5703125" bestFit="1" customWidth="1"/>
    <col min="5" max="5" width="58.5703125" bestFit="1" customWidth="1"/>
    <col min="6" max="6" width="21.28515625" style="23" bestFit="1" customWidth="1"/>
    <col min="7" max="7" width="36.7109375" bestFit="1" customWidth="1"/>
    <col min="8" max="8" width="63.5703125" customWidth="1"/>
    <col min="9" max="9" width="63.42578125" bestFit="1" customWidth="1"/>
    <col min="10" max="10" width="5.28515625" bestFit="1" customWidth="1"/>
    <col min="11" max="13" width="9.7109375" bestFit="1" customWidth="1"/>
  </cols>
  <sheetData>
    <row r="1" spans="1:9" x14ac:dyDescent="0.25">
      <c r="A1" s="18" t="s">
        <v>78</v>
      </c>
      <c r="B1" s="18"/>
      <c r="C1" t="s">
        <v>5</v>
      </c>
      <c r="D1" t="s">
        <v>93</v>
      </c>
      <c r="E1" t="s">
        <v>96</v>
      </c>
      <c r="F1" s="23" t="s">
        <v>97</v>
      </c>
    </row>
    <row r="2" spans="1:9" x14ac:dyDescent="0.25">
      <c r="A2" s="19" t="s">
        <v>80</v>
      </c>
      <c r="B2" s="19" t="s">
        <v>89</v>
      </c>
      <c r="G2" s="16" t="s">
        <v>6</v>
      </c>
      <c r="H2" s="16"/>
      <c r="I2" s="9" t="s">
        <v>34</v>
      </c>
    </row>
    <row r="3" spans="1:9" x14ac:dyDescent="0.25">
      <c r="A3" s="21" t="s">
        <v>81</v>
      </c>
      <c r="B3" s="21" t="s">
        <v>90</v>
      </c>
      <c r="C3" t="str">
        <f>_xlfn.CONCAT($G$2," ",G2)</f>
        <v>Application To: Application To:</v>
      </c>
      <c r="D3" t="s">
        <v>95</v>
      </c>
      <c r="E3" t="s">
        <v>4</v>
      </c>
      <c r="F3" s="23" t="s">
        <v>99</v>
      </c>
      <c r="G3" s="5" t="s">
        <v>31</v>
      </c>
      <c r="H3" s="3" t="s">
        <v>0</v>
      </c>
    </row>
    <row r="4" spans="1:9" x14ac:dyDescent="0.25">
      <c r="A4" s="19" t="s">
        <v>82</v>
      </c>
      <c r="B4" s="19" t="s">
        <v>58</v>
      </c>
      <c r="E4" t="s">
        <v>0</v>
      </c>
      <c r="F4" s="23" t="s">
        <v>98</v>
      </c>
      <c r="G4" s="5"/>
      <c r="H4" s="3"/>
    </row>
    <row r="5" spans="1:9" x14ac:dyDescent="0.25">
      <c r="A5" s="21" t="s">
        <v>83</v>
      </c>
      <c r="B5" s="21" t="s">
        <v>91</v>
      </c>
      <c r="E5" t="s">
        <v>1</v>
      </c>
      <c r="F5" s="23" t="s">
        <v>100</v>
      </c>
      <c r="G5" s="5"/>
      <c r="H5" s="3"/>
    </row>
    <row r="6" spans="1:9" x14ac:dyDescent="0.25">
      <c r="A6" s="19" t="s">
        <v>84</v>
      </c>
      <c r="B6" s="19" t="s">
        <v>92</v>
      </c>
      <c r="E6" t="s">
        <v>2</v>
      </c>
      <c r="F6" s="23" t="s">
        <v>101</v>
      </c>
      <c r="G6" s="5"/>
      <c r="H6" s="3"/>
    </row>
    <row r="7" spans="1:9" x14ac:dyDescent="0.25">
      <c r="A7" s="21" t="s">
        <v>79</v>
      </c>
      <c r="B7" s="22">
        <v>12</v>
      </c>
      <c r="E7" t="s">
        <v>3</v>
      </c>
      <c r="F7" s="23" t="s">
        <v>102</v>
      </c>
      <c r="G7" s="5"/>
      <c r="H7" s="3"/>
    </row>
    <row r="8" spans="1:9" x14ac:dyDescent="0.25">
      <c r="A8" s="19" t="s">
        <v>85</v>
      </c>
      <c r="B8" s="20">
        <v>6</v>
      </c>
      <c r="C8" t="str">
        <f>_xlfn.CONCAT($G$2," ",G3)</f>
        <v>Application To: Health Authority</v>
      </c>
      <c r="D8" t="s">
        <v>94</v>
      </c>
      <c r="F8" s="24"/>
      <c r="G8" s="6" t="s">
        <v>7</v>
      </c>
      <c r="H8" s="7" t="s">
        <v>11</v>
      </c>
    </row>
    <row r="9" spans="1:9" x14ac:dyDescent="0.25">
      <c r="A9" s="21" t="s">
        <v>86</v>
      </c>
      <c r="B9" s="22">
        <v>6</v>
      </c>
      <c r="C9" t="str">
        <f>_xlfn.CONCAT($G$2," ",G8)</f>
        <v>Application To: Name of Pool</v>
      </c>
      <c r="D9" t="s">
        <v>94</v>
      </c>
      <c r="G9" s="5" t="s">
        <v>10</v>
      </c>
      <c r="H9" s="3" t="s">
        <v>9</v>
      </c>
    </row>
    <row r="10" spans="1:9" x14ac:dyDescent="0.25">
      <c r="A10" s="19" t="s">
        <v>87</v>
      </c>
      <c r="B10" s="20">
        <v>8</v>
      </c>
      <c r="C10" t="str">
        <f>_xlfn.CONCAT($G$2," ",G9)</f>
        <v>Application To: Street Adress</v>
      </c>
      <c r="D10" t="s">
        <v>94</v>
      </c>
      <c r="G10" s="6" t="s">
        <v>8</v>
      </c>
      <c r="H10" s="8">
        <f ca="1">TODAY()</f>
        <v>45933</v>
      </c>
    </row>
    <row r="11" spans="1:9" x14ac:dyDescent="0.25">
      <c r="A11" s="21" t="s">
        <v>88</v>
      </c>
      <c r="B11" s="22">
        <v>3</v>
      </c>
      <c r="G11" s="17" t="s">
        <v>35</v>
      </c>
      <c r="H11" s="17"/>
    </row>
    <row r="12" spans="1:9" x14ac:dyDescent="0.25">
      <c r="C12" t="str">
        <f>_xlfn.CONCAT($G$11," ",G11)</f>
        <v>Contact Information: Owner or Agent Contact Information: Owner or Agent</v>
      </c>
      <c r="D12" t="s">
        <v>94</v>
      </c>
      <c r="G12" s="5" t="s">
        <v>5</v>
      </c>
      <c r="H12" s="3"/>
      <c r="I12" s="10" t="s">
        <v>37</v>
      </c>
    </row>
    <row r="13" spans="1:9" x14ac:dyDescent="0.25">
      <c r="C13" t="str">
        <f>_xlfn.CONCAT($G$11," ",G12)</f>
        <v>Contact Information: Owner or Agent Name</v>
      </c>
      <c r="D13" t="s">
        <v>94</v>
      </c>
      <c r="G13" s="6" t="s">
        <v>12</v>
      </c>
      <c r="H13" s="7"/>
      <c r="I13" s="10" t="s">
        <v>37</v>
      </c>
    </row>
    <row r="14" spans="1:9" x14ac:dyDescent="0.25">
      <c r="C14" t="str">
        <f>_xlfn.CONCAT($G$11," ",G13)</f>
        <v>Contact Information: Owner or Agent Address</v>
      </c>
      <c r="D14" t="s">
        <v>94</v>
      </c>
      <c r="G14" s="5" t="s">
        <v>13</v>
      </c>
      <c r="H14" s="3"/>
      <c r="I14" s="10" t="s">
        <v>37</v>
      </c>
    </row>
    <row r="15" spans="1:9" x14ac:dyDescent="0.25">
      <c r="C15" t="str">
        <f>_xlfn.CONCAT($G$11," ",G14)</f>
        <v>Contact Information: Owner or Agent Phone Number</v>
      </c>
      <c r="D15" t="s">
        <v>94</v>
      </c>
      <c r="G15" s="6" t="s">
        <v>14</v>
      </c>
      <c r="H15" s="7"/>
      <c r="I15" s="10" t="s">
        <v>37</v>
      </c>
    </row>
    <row r="16" spans="1:9" x14ac:dyDescent="0.25">
      <c r="G16" s="16" t="s">
        <v>36</v>
      </c>
      <c r="H16" s="16"/>
    </row>
    <row r="17" spans="3:9" x14ac:dyDescent="0.25">
      <c r="C17" t="str">
        <f>_xlfn.CONCAT($G$16," ",G16)</f>
        <v>Contact Information: Person Applying for Construction Permit Contact Information: Person Applying for Construction Permit</v>
      </c>
      <c r="D17" t="s">
        <v>94</v>
      </c>
      <c r="G17" s="5" t="s">
        <v>5</v>
      </c>
      <c r="H17" s="3" t="s">
        <v>15</v>
      </c>
    </row>
    <row r="18" spans="3:9" x14ac:dyDescent="0.25">
      <c r="C18" t="str">
        <f>_xlfn.CONCAT($G$16," ",G17)</f>
        <v>Contact Information: Person Applying for Construction Permit Name</v>
      </c>
      <c r="D18" t="s">
        <v>94</v>
      </c>
      <c r="G18" s="6" t="s">
        <v>12</v>
      </c>
      <c r="H18" s="7" t="s">
        <v>16</v>
      </c>
    </row>
    <row r="19" spans="3:9" x14ac:dyDescent="0.25">
      <c r="C19" t="str">
        <f>_xlfn.CONCAT($G$16," ",G18)</f>
        <v>Contact Information: Person Applying for Construction Permit Address</v>
      </c>
      <c r="D19" t="s">
        <v>94</v>
      </c>
      <c r="G19" s="5" t="s">
        <v>13</v>
      </c>
      <c r="H19" s="3" t="s">
        <v>17</v>
      </c>
    </row>
    <row r="20" spans="3:9" x14ac:dyDescent="0.25">
      <c r="C20" t="str">
        <f>_xlfn.CONCAT($G$16," ",G19)</f>
        <v>Contact Information: Person Applying for Construction Permit Phone Number</v>
      </c>
      <c r="D20" t="s">
        <v>94</v>
      </c>
      <c r="G20" s="6" t="s">
        <v>14</v>
      </c>
      <c r="H20" s="7" t="s">
        <v>18</v>
      </c>
    </row>
    <row r="21" spans="3:9" x14ac:dyDescent="0.25">
      <c r="G21" s="16" t="s">
        <v>32</v>
      </c>
      <c r="H21" s="16"/>
    </row>
    <row r="22" spans="3:9" x14ac:dyDescent="0.25">
      <c r="C22" t="str">
        <f>_xlfn.CONCAT($G$21,": ",G21)</f>
        <v>Owner's Confirmation of Commitment: Owner's Confirmation of Commitment</v>
      </c>
      <c r="D22" t="s">
        <v>94</v>
      </c>
      <c r="G22" s="6" t="s">
        <v>33</v>
      </c>
      <c r="H22" s="7"/>
      <c r="I22" s="10" t="s">
        <v>37</v>
      </c>
    </row>
    <row r="23" spans="3:9" x14ac:dyDescent="0.25">
      <c r="C23" t="str">
        <f>_xlfn.CONCAT($G$21,": ",G22)</f>
        <v>Owner's Confirmation of Commitment: Owner Name</v>
      </c>
      <c r="D23" t="s">
        <v>94</v>
      </c>
      <c r="G23" s="5" t="s">
        <v>31</v>
      </c>
      <c r="H23" s="11" t="str">
        <f>H3</f>
        <v>Fraser</v>
      </c>
    </row>
    <row r="24" spans="3:9" x14ac:dyDescent="0.25">
      <c r="C24" t="str">
        <f>_xlfn.CONCAT($G$21,": ",G23)</f>
        <v>Owner's Confirmation of Commitment: Health Authority</v>
      </c>
      <c r="D24" t="s">
        <v>94</v>
      </c>
      <c r="G24" s="6" t="s">
        <v>8</v>
      </c>
      <c r="H24" s="12">
        <f ca="1">H10</f>
        <v>45933</v>
      </c>
    </row>
    <row r="25" spans="3:9" x14ac:dyDescent="0.25">
      <c r="G25" s="16" t="s">
        <v>19</v>
      </c>
      <c r="H25" s="16"/>
    </row>
    <row r="26" spans="3:9" x14ac:dyDescent="0.25">
      <c r="C26" t="str">
        <f>_xlfn.CONCAT($G$25,": ",G25)</f>
        <v>General Information: General Information</v>
      </c>
      <c r="D26" t="s">
        <v>94</v>
      </c>
      <c r="G26" s="5" t="s">
        <v>20</v>
      </c>
      <c r="H26" s="2" t="str">
        <f>H8</f>
        <v>AME test pool</v>
      </c>
    </row>
    <row r="27" spans="3:9" x14ac:dyDescent="0.25">
      <c r="C27" t="str">
        <f>_xlfn.CONCAT($G$25,": ",G26)</f>
        <v>General Information: Name of Pool:</v>
      </c>
      <c r="D27" t="s">
        <v>94</v>
      </c>
      <c r="G27" s="6" t="s">
        <v>21</v>
      </c>
      <c r="H27" s="4" t="str">
        <f>H9</f>
        <v>1175 Douglas St #912, Victoria, BC V8W 2E1</v>
      </c>
    </row>
    <row r="28" spans="3:9" x14ac:dyDescent="0.25">
      <c r="C28" t="str">
        <f>_xlfn.CONCAT($G$25,": ",G27)</f>
        <v>General Information: Civic Address:</v>
      </c>
      <c r="D28" t="s">
        <v>95</v>
      </c>
      <c r="E28" t="s">
        <v>24</v>
      </c>
      <c r="G28" s="5" t="s">
        <v>22</v>
      </c>
      <c r="H28" s="3" t="s">
        <v>26</v>
      </c>
    </row>
    <row r="29" spans="3:9" x14ac:dyDescent="0.25">
      <c r="E29" t="s">
        <v>25</v>
      </c>
      <c r="G29" s="5"/>
      <c r="H29" s="3"/>
    </row>
    <row r="30" spans="3:9" x14ac:dyDescent="0.25">
      <c r="E30" t="s">
        <v>26</v>
      </c>
      <c r="G30" s="5"/>
      <c r="H30" s="3"/>
    </row>
    <row r="31" spans="3:9" x14ac:dyDescent="0.25">
      <c r="E31" t="s">
        <v>27</v>
      </c>
      <c r="G31" s="5"/>
      <c r="H31" s="3"/>
    </row>
    <row r="32" spans="3:9" x14ac:dyDescent="0.25">
      <c r="E32" t="s">
        <v>28</v>
      </c>
      <c r="G32" s="5"/>
      <c r="H32" s="3"/>
    </row>
    <row r="33" spans="3:9" x14ac:dyDescent="0.25">
      <c r="C33" t="str">
        <f>_xlfn.CONCAT($G$25,": ",G28)</f>
        <v>General Information: Pool Type:</v>
      </c>
      <c r="D33" t="s">
        <v>95</v>
      </c>
      <c r="E33" t="s">
        <v>29</v>
      </c>
      <c r="G33" s="6" t="s">
        <v>23</v>
      </c>
      <c r="H33" s="7" t="s">
        <v>29</v>
      </c>
    </row>
    <row r="34" spans="3:9" x14ac:dyDescent="0.25">
      <c r="E34" t="s">
        <v>30</v>
      </c>
      <c r="G34" s="6"/>
      <c r="H34" s="7"/>
    </row>
    <row r="35" spans="3:9" x14ac:dyDescent="0.25">
      <c r="G35" s="16" t="s">
        <v>38</v>
      </c>
      <c r="H35" s="16"/>
    </row>
    <row r="36" spans="3:9" x14ac:dyDescent="0.25">
      <c r="C36" t="str">
        <f>_xlfn.CONCAT($G$35,": ",G35)</f>
        <v>Owner Information: Owner Information</v>
      </c>
      <c r="D36" t="s">
        <v>94</v>
      </c>
      <c r="G36" s="5" t="s">
        <v>5</v>
      </c>
      <c r="H36" s="3" t="s">
        <v>15</v>
      </c>
      <c r="I36" s="10" t="s">
        <v>37</v>
      </c>
    </row>
    <row r="37" spans="3:9" x14ac:dyDescent="0.25">
      <c r="C37" t="str">
        <f>_xlfn.CONCAT($G$35,": ",G36)</f>
        <v>Owner Information: Name</v>
      </c>
      <c r="D37" t="s">
        <v>94</v>
      </c>
      <c r="G37" s="6" t="s">
        <v>12</v>
      </c>
      <c r="H37" s="7" t="s">
        <v>16</v>
      </c>
      <c r="I37" s="10" t="s">
        <v>37</v>
      </c>
    </row>
    <row r="38" spans="3:9" x14ac:dyDescent="0.25">
      <c r="C38" t="str">
        <f>_xlfn.CONCAT($G$35,": ",G37)</f>
        <v>Owner Information: Address</v>
      </c>
      <c r="D38" t="s">
        <v>94</v>
      </c>
      <c r="G38" s="5" t="s">
        <v>13</v>
      </c>
      <c r="H38" s="3" t="s">
        <v>17</v>
      </c>
      <c r="I38" s="10" t="s">
        <v>37</v>
      </c>
    </row>
    <row r="39" spans="3:9" x14ac:dyDescent="0.25">
      <c r="C39" t="str">
        <f>_xlfn.CONCAT($G$35,": ",G38)</f>
        <v>Owner Information: Phone Number</v>
      </c>
      <c r="D39" t="s">
        <v>94</v>
      </c>
      <c r="G39" s="6" t="s">
        <v>14</v>
      </c>
      <c r="H39" s="7" t="s">
        <v>18</v>
      </c>
      <c r="I39" s="10" t="s">
        <v>37</v>
      </c>
    </row>
    <row r="40" spans="3:9" x14ac:dyDescent="0.25">
      <c r="G40" s="16" t="s">
        <v>39</v>
      </c>
      <c r="H40" s="16"/>
    </row>
    <row r="41" spans="3:9" x14ac:dyDescent="0.25">
      <c r="C41" t="str">
        <f>_xlfn.CONCAT($G$40,": ",G40)</f>
        <v>Designer Information (Append additional information for multiple designers): Designer Information (Append additional information for multiple designers)</v>
      </c>
      <c r="D41" t="s">
        <v>94</v>
      </c>
      <c r="G41" s="6" t="s">
        <v>5</v>
      </c>
      <c r="H41" s="4" t="str">
        <f>H17</f>
        <v>John Doe</v>
      </c>
    </row>
    <row r="42" spans="3:9" x14ac:dyDescent="0.25">
      <c r="C42" t="str">
        <f>_xlfn.CONCAT($G$40,": ",G41)</f>
        <v>Designer Information (Append additional information for multiple designers): Name</v>
      </c>
      <c r="D42" t="s">
        <v>94</v>
      </c>
      <c r="G42" s="5" t="s">
        <v>42</v>
      </c>
      <c r="H42" s="3" t="s">
        <v>43</v>
      </c>
    </row>
    <row r="43" spans="3:9" x14ac:dyDescent="0.25">
      <c r="C43" t="str">
        <f>_xlfn.CONCAT($G$40,": ",G42)</f>
        <v>Designer Information (Append additional information for multiple designers): Professional Designation</v>
      </c>
      <c r="D43" t="s">
        <v>94</v>
      </c>
      <c r="G43" s="6" t="s">
        <v>40</v>
      </c>
      <c r="H43" s="7" t="s">
        <v>41</v>
      </c>
    </row>
    <row r="44" spans="3:9" x14ac:dyDescent="0.25">
      <c r="C44" t="str">
        <f>_xlfn.CONCAT($G$40,": ",G43)</f>
        <v>Designer Information (Append additional information for multiple designers): Company (Legal Corporate)</v>
      </c>
      <c r="D44" t="s">
        <v>94</v>
      </c>
      <c r="G44" s="5" t="s">
        <v>12</v>
      </c>
      <c r="H44" s="2" t="str">
        <f>H18</f>
        <v>638 Smithe St Suite 200, Vancouver, BC V6B 1E3</v>
      </c>
    </row>
    <row r="45" spans="3:9" x14ac:dyDescent="0.25">
      <c r="C45" t="str">
        <f>_xlfn.CONCAT($G$40,": ",G44)</f>
        <v>Designer Information (Append additional information for multiple designers): Address</v>
      </c>
      <c r="D45" t="s">
        <v>94</v>
      </c>
      <c r="G45" s="6" t="s">
        <v>13</v>
      </c>
      <c r="H45" s="4" t="str">
        <f>H19</f>
        <v>098-765-4321</v>
      </c>
    </row>
    <row r="46" spans="3:9" x14ac:dyDescent="0.25">
      <c r="C46" t="str">
        <f>_xlfn.CONCAT($G$40,": ",G45)</f>
        <v>Designer Information (Append additional information for multiple designers): Phone Number</v>
      </c>
      <c r="D46" t="s">
        <v>94</v>
      </c>
      <c r="G46" s="5" t="s">
        <v>14</v>
      </c>
      <c r="H46" s="2" t="str">
        <f>H20</f>
        <v>random@icould.com</v>
      </c>
    </row>
    <row r="47" spans="3:9" x14ac:dyDescent="0.25">
      <c r="G47" s="16" t="s">
        <v>44</v>
      </c>
      <c r="H47" s="16"/>
    </row>
    <row r="48" spans="3:9" x14ac:dyDescent="0.25">
      <c r="C48" t="str">
        <f>_xlfn.CONCAT($G$47,": ",G47)</f>
        <v>General Pool Parameters: General Pool Parameters</v>
      </c>
      <c r="D48" t="s">
        <v>94</v>
      </c>
      <c r="G48" s="5" t="s">
        <v>45</v>
      </c>
      <c r="H48" s="13">
        <v>300</v>
      </c>
    </row>
    <row r="49" spans="3:9" x14ac:dyDescent="0.25">
      <c r="C49" t="str">
        <f>_xlfn.CONCAT($G$47,": ",G48)</f>
        <v>General Pool Parameters: Pool Volume: (m^3)</v>
      </c>
      <c r="D49" t="s">
        <v>94</v>
      </c>
      <c r="G49" s="6" t="s">
        <v>46</v>
      </c>
      <c r="H49" s="14">
        <v>2.33</v>
      </c>
    </row>
    <row r="50" spans="3:9" x14ac:dyDescent="0.25">
      <c r="C50" t="str">
        <f>_xlfn.CONCAT($G$47,": ",G49)</f>
        <v>General Pool Parameters: Turnover: (hours)</v>
      </c>
      <c r="D50" t="s">
        <v>94</v>
      </c>
      <c r="G50" s="5" t="s">
        <v>47</v>
      </c>
      <c r="H50" s="13">
        <v>1200</v>
      </c>
    </row>
    <row r="51" spans="3:9" x14ac:dyDescent="0.25">
      <c r="C51" t="str">
        <f>_xlfn.CONCAT($G$47,": ",G50)</f>
        <v>General Pool Parameters: Design Re-circulation Flow Rate: (L/sec)</v>
      </c>
      <c r="D51" t="s">
        <v>94</v>
      </c>
      <c r="G51" s="6" t="s">
        <v>48</v>
      </c>
      <c r="H51" s="14">
        <v>30</v>
      </c>
    </row>
    <row r="52" spans="3:9" x14ac:dyDescent="0.25">
      <c r="C52" t="str">
        <f>_xlfn.CONCAT($G$47,": ",G51)</f>
        <v>General Pool Parameters: Pool Area (m^2)</v>
      </c>
      <c r="D52" t="s">
        <v>94</v>
      </c>
      <c r="G52" s="5" t="s">
        <v>49</v>
      </c>
      <c r="H52" s="13">
        <v>20</v>
      </c>
    </row>
    <row r="53" spans="3:9" x14ac:dyDescent="0.25">
      <c r="C53" t="str">
        <f>_xlfn.CONCAT($G$47,": ",G52)</f>
        <v>General Pool Parameters: Deck Area (m^2)</v>
      </c>
      <c r="D53" t="s">
        <v>94</v>
      </c>
      <c r="G53" s="6" t="s">
        <v>50</v>
      </c>
      <c r="H53" s="14">
        <v>1</v>
      </c>
      <c r="I53" s="10" t="s">
        <v>61</v>
      </c>
    </row>
    <row r="54" spans="3:9" x14ac:dyDescent="0.25">
      <c r="C54" t="str">
        <f>_xlfn.CONCAT($G$47,": ",G53)</f>
        <v>General Pool Parameters: Minimum Water Depth</v>
      </c>
      <c r="D54" t="s">
        <v>94</v>
      </c>
      <c r="G54" s="5" t="s">
        <v>51</v>
      </c>
      <c r="H54" s="13">
        <v>3</v>
      </c>
    </row>
    <row r="55" spans="3:9" x14ac:dyDescent="0.25">
      <c r="C55" t="str">
        <f>_xlfn.CONCAT($G$47,": ",G54)</f>
        <v>General Pool Parameters: Maximum Water Depth</v>
      </c>
      <c r="D55" t="s">
        <v>94</v>
      </c>
      <c r="G55" s="6" t="s">
        <v>52</v>
      </c>
      <c r="H55" s="14">
        <v>100</v>
      </c>
    </row>
    <row r="56" spans="3:9" x14ac:dyDescent="0.25">
      <c r="C56" t="str">
        <f>_xlfn.CONCAT($G$47,": ",G55)</f>
        <v>General Pool Parameters: Shallow Bathing Load</v>
      </c>
      <c r="D56" t="s">
        <v>94</v>
      </c>
      <c r="G56" s="5" t="s">
        <v>53</v>
      </c>
      <c r="H56" s="13">
        <v>100</v>
      </c>
    </row>
    <row r="57" spans="3:9" x14ac:dyDescent="0.25">
      <c r="C57" t="str">
        <f>_xlfn.CONCAT($G$47,": ",G56)</f>
        <v>General Pool Parameters: Deep Bathing Load</v>
      </c>
      <c r="D57" t="s">
        <v>94</v>
      </c>
      <c r="G57" s="6" t="s">
        <v>54</v>
      </c>
      <c r="H57" s="15">
        <f>SUM(H55:H56)</f>
        <v>200</v>
      </c>
    </row>
    <row r="58" spans="3:9" x14ac:dyDescent="0.25">
      <c r="C58" t="str">
        <f>_xlfn.CONCAT($G$47,": ",G57)</f>
        <v>General Pool Parameters: Total Bathing Load</v>
      </c>
      <c r="D58" t="s">
        <v>94</v>
      </c>
      <c r="G58" s="5" t="s">
        <v>55</v>
      </c>
      <c r="H58" s="13" t="s">
        <v>76</v>
      </c>
    </row>
    <row r="59" spans="3:9" x14ac:dyDescent="0.25">
      <c r="C59" t="str">
        <f>_xlfn.CONCAT($G$47,": ",G58)</f>
        <v>General Pool Parameters: Pool Basin Color</v>
      </c>
      <c r="D59" t="s">
        <v>95</v>
      </c>
      <c r="E59" t="str">
        <f>_xlfn.CONCAT(Backend!F2,",",Backend!F3)</f>
        <v>Yes,No</v>
      </c>
      <c r="G59" s="6" t="s">
        <v>56</v>
      </c>
      <c r="H59" s="14" t="s">
        <v>58</v>
      </c>
    </row>
    <row r="60" spans="3:9" x14ac:dyDescent="0.25">
      <c r="C60" t="str">
        <f>_xlfn.CONCAT($G$47,": ",G59)</f>
        <v>General Pool Parameters: Complies with Pool Regulations</v>
      </c>
      <c r="D60" t="s">
        <v>95</v>
      </c>
      <c r="E60" t="str">
        <f>_xlfn.CONCAT(Backend!G2,",",Backend!G3,",",Backend!G4,",",Backend!G5,",",Backend!G6)</f>
        <v>Sand,D.E.,Pressure,Vacuum,Gravity</v>
      </c>
      <c r="G60" s="5" t="s">
        <v>60</v>
      </c>
      <c r="H60" s="13" t="s">
        <v>65</v>
      </c>
    </row>
    <row r="61" spans="3:9" x14ac:dyDescent="0.25">
      <c r="C61" t="str">
        <f>_xlfn.CONCAT($G$47,": ",G60)</f>
        <v>General Pool Parameters: Filters</v>
      </c>
      <c r="D61" t="s">
        <v>95</v>
      </c>
      <c r="E61" t="str">
        <f>_xlfn.CONCAT(Backend!F2,",",Backend!F3)</f>
        <v>Yes,No</v>
      </c>
      <c r="G61" s="6" t="s">
        <v>66</v>
      </c>
      <c r="H61" s="14" t="s">
        <v>58</v>
      </c>
    </row>
    <row r="62" spans="3:9" x14ac:dyDescent="0.25">
      <c r="C62" t="str">
        <f>_xlfn.CONCAT($G$47,": ",G61)</f>
        <v>General Pool Parameters: NSF Approved</v>
      </c>
      <c r="D62" t="s">
        <v>94</v>
      </c>
      <c r="G62" s="5" t="s">
        <v>67</v>
      </c>
      <c r="H62" s="13">
        <v>2</v>
      </c>
    </row>
    <row r="63" spans="3:9" x14ac:dyDescent="0.25">
      <c r="C63" t="str">
        <f>_xlfn.CONCAT($G$47,": ",G62)</f>
        <v>General Pool Parameters: Pressure Gauge Quantity</v>
      </c>
      <c r="D63" t="s">
        <v>94</v>
      </c>
      <c r="G63" s="6" t="s">
        <v>68</v>
      </c>
      <c r="H63" s="14">
        <v>2</v>
      </c>
    </row>
    <row r="64" spans="3:9" x14ac:dyDescent="0.25">
      <c r="C64" t="str">
        <f>_xlfn.CONCAT($G$47,": ",G63)</f>
        <v>General Pool Parameters: Vacuum Gauge Quantity</v>
      </c>
      <c r="D64" t="s">
        <v>94</v>
      </c>
      <c r="G64" s="5" t="s">
        <v>69</v>
      </c>
      <c r="H64" s="13">
        <v>1</v>
      </c>
    </row>
    <row r="65" spans="3:8" x14ac:dyDescent="0.25">
      <c r="C65" t="str">
        <f>_xlfn.CONCAT($G$47,": ",G64)</f>
        <v>General Pool Parameters: Temperature Gauge Quantity</v>
      </c>
      <c r="D65" t="s">
        <v>95</v>
      </c>
      <c r="E65" t="str">
        <f>_xlfn.CONCAT(Backend!H2,",",Backend!H3,",",Backend!H4,",",Backend!H5,",",Backend!H6)</f>
        <v>Hypochlorite,Chlorine Gas,Stabilized Chlorine,Bromine,Other</v>
      </c>
      <c r="G65" s="6" t="s">
        <v>70</v>
      </c>
      <c r="H65" s="14" t="s">
        <v>71</v>
      </c>
    </row>
  </sheetData>
  <mergeCells count="9">
    <mergeCell ref="A1:B1"/>
    <mergeCell ref="G47:H47"/>
    <mergeCell ref="G35:H35"/>
    <mergeCell ref="G40:H40"/>
    <mergeCell ref="G2:H2"/>
    <mergeCell ref="G11:H11"/>
    <mergeCell ref="G16:H16"/>
    <mergeCell ref="G25:H25"/>
    <mergeCell ref="G21:H21"/>
  </mergeCells>
  <phoneticPr fontId="5" type="noConversion"/>
  <dataValidations count="3">
    <dataValidation type="list" allowBlank="1" showInputMessage="1" showErrorMessage="1" sqref="H3" xr:uid="{DBDA0B2E-73C7-461D-9A78-8C9C0FC3C8EE}">
      <formula1>$E$3:$E$7</formula1>
    </dataValidation>
    <dataValidation type="list" allowBlank="1" showInputMessage="1" showErrorMessage="1" sqref="H28" xr:uid="{2A4FBB3A-AF25-40CF-A7C5-68C363A144AC}">
      <formula1>$E$28:$E$32</formula1>
    </dataValidation>
    <dataValidation type="list" allowBlank="1" showInputMessage="1" showErrorMessage="1" sqref="H33" xr:uid="{4F3AB38D-0522-46BE-8207-6886168C0716}">
      <formula1>$E$33:$E$34</formula1>
    </dataValidation>
  </dataValidations>
  <hyperlinks>
    <hyperlink ref="H20" r:id="rId1" xr:uid="{F23C4D8F-D3A5-41F8-8768-957B6ED66387}"/>
    <hyperlink ref="H39" r:id="rId2" xr:uid="{7C1EE75F-8A56-4E1F-8F6D-E3D927261E7F}"/>
    <hyperlink ref="H45" r:id="rId3" display="random@icould.com" xr:uid="{0D1B7BBF-15B3-4CFC-9039-2B5392E32994}"/>
  </hyperlinks>
  <pageMargins left="0.7" right="0.7" top="0.75" bottom="0.75" header="0.3" footer="0.3"/>
  <pageSetup orientation="portrait" horizontalDpi="300" verticalDpi="300" r:id="rId4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E16A27BC-15E6-475F-BB89-94A0C07741A8}">
          <x14:formula1>
            <xm:f>Backend!$B$2:$B$6</xm:f>
          </x14:formula1>
          <xm:sqref>H29:H32</xm:sqref>
        </x14:dataValidation>
        <x14:dataValidation type="list" allowBlank="1" showInputMessage="1" showErrorMessage="1" xr:uid="{B3132453-0252-43A7-BEC0-13862065EF0E}">
          <x14:formula1>
            <xm:f>Backend!$C$2:$C$3</xm:f>
          </x14:formula1>
          <xm:sqref>H34</xm:sqref>
        </x14:dataValidation>
        <x14:dataValidation type="list" allowBlank="1" showInputMessage="1" showErrorMessage="1" xr:uid="{30E8FBE2-C2FC-4B6D-9F98-1AD125B8C425}">
          <x14:formula1>
            <xm:f>Backend!$E$2:$E$3</xm:f>
          </x14:formula1>
          <xm:sqref>H42</xm:sqref>
        </x14:dataValidation>
        <x14:dataValidation type="list" allowBlank="1" showInputMessage="1" showErrorMessage="1" xr:uid="{D7F0EB7B-BBFF-45D3-B222-8DBEA2A4E2AA}">
          <x14:formula1>
            <xm:f>Backend!$F$2:$F$3</xm:f>
          </x14:formula1>
          <xm:sqref>H59 H61 B4</xm:sqref>
        </x14:dataValidation>
        <x14:dataValidation type="list" allowBlank="1" showInputMessage="1" showErrorMessage="1" xr:uid="{85EB1F5D-2C0D-4619-81F3-F49B63FA8937}">
          <x14:formula1>
            <xm:f>Backend!$G$2:$G$6</xm:f>
          </x14:formula1>
          <xm:sqref>H60</xm:sqref>
        </x14:dataValidation>
        <x14:dataValidation type="list" allowBlank="1" showInputMessage="1" showErrorMessage="1" xr:uid="{3BF7E381-8828-457B-A727-E2C5CC93B0AF}">
          <x14:formula1>
            <xm:f>Backend!$H$2:$H$6</xm:f>
          </x14:formula1>
          <xm:sqref>H65</xm:sqref>
        </x14:dataValidation>
        <x14:dataValidation type="list" allowBlank="1" showInputMessage="1" showErrorMessage="1" xr:uid="{F3641AE7-F3E1-4130-BA9D-61DF5A2A44B2}">
          <x14:formula1>
            <xm:f>Backend!$I$2:$I$3</xm:f>
          </x14:formula1>
          <xm:sqref>D2:D65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0A74-45BA-42EE-9251-9C730233F3C6}">
  <sheetPr codeName="Sheet2"/>
  <dimension ref="A1:I6"/>
  <sheetViews>
    <sheetView workbookViewId="0">
      <selection activeCell="L5" sqref="L5:L6"/>
    </sheetView>
  </sheetViews>
  <sheetFormatPr defaultRowHeight="15" x14ac:dyDescent="0.25"/>
  <cols>
    <col min="1" max="1" width="17.5703125" bestFit="1" customWidth="1"/>
    <col min="2" max="2" width="16.140625" bestFit="1" customWidth="1"/>
    <col min="3" max="3" width="15.28515625" bestFit="1" customWidth="1"/>
    <col min="4" max="4" width="15.85546875" bestFit="1" customWidth="1"/>
    <col min="5" max="5" width="23.42578125" bestFit="1" customWidth="1"/>
    <col min="7" max="7" width="21.140625" customWidth="1"/>
    <col min="8" max="8" width="18" bestFit="1" customWidth="1"/>
    <col min="9" max="9" width="20.5703125" bestFit="1" customWidth="1"/>
  </cols>
  <sheetData>
    <row r="1" spans="1:9" x14ac:dyDescent="0.25">
      <c r="A1" s="1"/>
      <c r="B1" s="1"/>
      <c r="C1" s="1"/>
      <c r="D1" s="1"/>
      <c r="E1" s="1"/>
      <c r="F1" s="1" t="s">
        <v>57</v>
      </c>
      <c r="G1" s="1" t="s">
        <v>60</v>
      </c>
      <c r="H1" s="1" t="s">
        <v>70</v>
      </c>
      <c r="I1" s="1"/>
    </row>
    <row r="2" spans="1:9" x14ac:dyDescent="0.25">
      <c r="F2" t="s">
        <v>58</v>
      </c>
      <c r="G2" t="s">
        <v>62</v>
      </c>
      <c r="H2" t="s">
        <v>71</v>
      </c>
    </row>
    <row r="3" spans="1:9" x14ac:dyDescent="0.25">
      <c r="F3" t="s">
        <v>59</v>
      </c>
      <c r="G3" t="s">
        <v>77</v>
      </c>
      <c r="H3" t="s">
        <v>72</v>
      </c>
    </row>
    <row r="4" spans="1:9" x14ac:dyDescent="0.25">
      <c r="G4" t="s">
        <v>63</v>
      </c>
      <c r="H4" t="s">
        <v>73</v>
      </c>
    </row>
    <row r="5" spans="1:9" x14ac:dyDescent="0.25">
      <c r="G5" t="s">
        <v>64</v>
      </c>
      <c r="H5" t="s">
        <v>74</v>
      </c>
    </row>
    <row r="6" spans="1:9" x14ac:dyDescent="0.25">
      <c r="G6" t="s">
        <v>65</v>
      </c>
      <c r="H6" t="s">
        <v>75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Pool Data For Export</vt:lpstr>
      <vt:lpstr>Backend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Bennett Steers</dc:creator>
  <cp:lastModifiedBy>Bennett Steers</cp:lastModifiedBy>
  <dcterms:created xsi:type="dcterms:W3CDTF">2015-06-05T18:17:20Z</dcterms:created>
  <dcterms:modified xsi:type="dcterms:W3CDTF">2025-10-03T07:14:37Z</dcterms:modified>
</cp:coreProperties>
</file>